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シーン割り" sheetId="1" state="visible" r:id="rId1"/>
    <sheet name="スタイル一覧" sheetId="2" state="visible" r:id="rId2"/>
    <sheet name="要確認" sheetId="3" state="visible" r:id="rId3"/>
    <sheet name="設定" sheetId="4" state="visible" r:id="rId4"/>
  </sheets>
  <definedNames>
    <definedName name="_xlnm._FilterDatabase" localSheetId="0" hidden="1">'シーン割り'!$A$1:$L$36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eiryo"/>
      <b val="1"/>
      <sz val="13"/>
    </font>
    <font>
      <name val="Meiryo"/>
      <b val="1"/>
      <color rgb="000000FF"/>
    </font>
    <font>
      <name val="Meiryo"/>
      <b val="1"/>
    </font>
    <font>
      <name val="Meiryo"/>
      <color theme="1"/>
      <sz val="10"/>
    </font>
    <font>
      <name val="Meiryo"/>
      <b val="1"/>
      <sz val="10"/>
    </font>
    <font>
      <name val="Meiryo"/>
      <b val="1"/>
      <color rgb="00FFFFFF"/>
      <sz val="10"/>
    </font>
    <font>
      <name val="Meiryo"/>
      <sz val="10"/>
    </font>
    <font>
      <name val="Meiryo"/>
      <color rgb="00B42318"/>
      <sz val="10"/>
    </font>
    <font>
      <name val="Meiryo"/>
      <color rgb="008D93A4"/>
      <sz val="10"/>
    </font>
    <font>
      <name val="Meiryo"/>
      <b val="1"/>
      <color rgb="00B42318"/>
      <sz val="10"/>
    </font>
  </fonts>
  <fills count="8">
    <fill>
      <patternFill/>
    </fill>
    <fill>
      <patternFill patternType="gray125"/>
    </fill>
    <fill>
      <patternFill patternType="solid">
        <fgColor rgb="00FFFF00"/>
      </patternFill>
    </fill>
    <fill>
      <patternFill patternType="solid">
        <fgColor rgb="001F2433"/>
      </patternFill>
    </fill>
    <fill>
      <patternFill patternType="solid">
        <fgColor rgb="00E8EEF8"/>
      </patternFill>
    </fill>
    <fill>
      <patternFill patternType="solid">
        <fgColor rgb="00FDF1E3"/>
      </patternFill>
    </fill>
    <fill>
      <patternFill patternType="solid">
        <fgColor rgb="00F3E8F5"/>
      </patternFill>
    </fill>
    <fill>
      <patternFill patternType="solid">
        <fgColor rgb="00E6F4F1"/>
      </patternFill>
    </fill>
  </fills>
  <borders count="3">
    <border>
      <left/>
      <right/>
      <top/>
      <bottom/>
      <diagonal/>
    </border>
    <border>
      <left style="thin">
        <color rgb="00D5D8E0"/>
      </left>
      <right style="thin">
        <color rgb="00D5D8E0"/>
      </right>
      <top style="thin">
        <color rgb="00D5D8E0"/>
      </top>
      <bottom style="thin">
        <color rgb="00D5D8E0"/>
      </bottom>
    </border>
    <border>
      <left style="thin">
        <color rgb="00D5D8E0"/>
      </left>
      <right style="thin">
        <color rgb="00D5D8E0"/>
      </right>
      <top style="medium">
        <color rgb="001F2433"/>
      </top>
      <bottom style="thin">
        <color rgb="00D5D8E0"/>
      </bottom>
    </border>
  </borders>
  <cellStyleXfs count="1">
    <xf numFmtId="0" fontId="0" fillId="0" borderId="0"/>
  </cellStyleXfs>
  <cellXfs count="24">
    <xf numFmtId="0" fontId="0" fillId="0" borderId="0" pivotButton="0" quotePrefix="0" xfId="0"/>
    <xf numFmtId="0" fontId="6" fillId="3"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8" fillId="0" borderId="1" applyAlignment="1" pivotButton="0" quotePrefix="0" xfId="0">
      <alignment vertical="top" wrapText="1"/>
    </xf>
    <xf numFmtId="0" fontId="7" fillId="0" borderId="2" applyAlignment="1" pivotButton="0" quotePrefix="0" xfId="0">
      <alignment horizontal="center" vertical="top" wrapText="1"/>
    </xf>
    <xf numFmtId="0" fontId="7" fillId="0" borderId="2" applyAlignment="1" pivotButton="0" quotePrefix="0" xfId="0">
      <alignment vertical="top" wrapText="1"/>
    </xf>
    <xf numFmtId="0" fontId="7" fillId="4" borderId="2" applyAlignment="1" pivotButton="0" quotePrefix="0" xfId="0">
      <alignment vertical="top" wrapText="1"/>
    </xf>
    <xf numFmtId="0" fontId="7" fillId="5" borderId="2" applyAlignment="1" pivotButton="0" quotePrefix="0" xfId="0">
      <alignment vertical="top" wrapText="1"/>
    </xf>
    <xf numFmtId="0" fontId="7" fillId="6" borderId="2" applyAlignment="1" pivotButton="0" quotePrefix="0" xfId="0">
      <alignment vertical="top" wrapText="1"/>
    </xf>
    <xf numFmtId="0" fontId="7" fillId="7" borderId="2" applyAlignment="1" pivotButton="0" quotePrefix="0" xfId="0">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top" wrapText="1"/>
    </xf>
    <xf numFmtId="0" fontId="5" fillId="0" borderId="0" pivotButton="0" quotePrefix="0" xfId="0"/>
    <xf numFmtId="0" fontId="5" fillId="0" borderId="1" applyAlignment="1" pivotButton="0" quotePrefix="0" xfId="0">
      <alignment horizontal="center" vertical="top" wrapText="1"/>
    </xf>
    <xf numFmtId="0" fontId="10" fillId="0" borderId="1" applyAlignment="1" pivotButton="0" quotePrefix="0" xfId="0">
      <alignment horizontal="center" vertical="top" wrapText="1"/>
    </xf>
    <xf numFmtId="0" fontId="8" fillId="0" borderId="0" applyAlignment="1" pivotButton="0" quotePrefix="0" xfId="0">
      <alignment vertical="top" wrapText="1"/>
    </xf>
    <xf numFmtId="0" fontId="1" fillId="0" borderId="0" pivotButton="0" quotePrefix="0" xfId="0"/>
    <xf numFmtId="0" fontId="4"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B3" authorId="0" shapeId="0">
      <text>
        <t>仮の値です（日本語ナレーションで一般的な毎分約330字）。実際の収録音声の長さに合わせて変えると、シーン割りの秒数が自動で変わります。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L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6" customWidth="1" min="3" max="3"/>
    <col width="7" customWidth="1" min="4" max="4"/>
    <col width="9" customWidth="1" min="5" max="5"/>
    <col width="8" customWidth="1" min="6" max="6"/>
    <col width="16" customWidth="1" min="7" max="7"/>
    <col width="16" customWidth="1" min="8" max="8"/>
    <col width="16" customWidth="1" min="9" max="9"/>
    <col width="16" customWidth="1" min="10" max="10"/>
    <col width="48" customWidth="1" min="11" max="11"/>
    <col width="36" customWidth="1" min="12" max="12"/>
  </cols>
  <sheetData>
    <row r="1">
      <c r="A1" s="1" t="inlineStr">
        <is>
          <t>No</t>
        </is>
      </c>
      <c r="B1" s="1" t="inlineStr">
        <is>
          <t>パート</t>
        </is>
      </c>
      <c r="C1" s="1" t="inlineStr">
        <is>
          <t>台本</t>
        </is>
      </c>
      <c r="D1" s="1" t="inlineStr">
        <is>
          <t>文字数</t>
        </is>
      </c>
      <c r="E1" s="1" t="inlineStr">
        <is>
          <t>秒数（目安）</t>
        </is>
      </c>
      <c r="F1" s="1" t="inlineStr">
        <is>
          <t>開始</t>
        </is>
      </c>
      <c r="G1" s="1" t="inlineStr">
        <is>
          <t>背景</t>
        </is>
      </c>
      <c r="H1" s="1" t="inlineStr">
        <is>
          <t>主役</t>
        </is>
      </c>
      <c r="I1" s="1" t="inlineStr">
        <is>
          <t>文字</t>
        </is>
      </c>
      <c r="J1" s="1" t="inlineStr">
        <is>
          <t>仕上げ</t>
        </is>
      </c>
      <c r="K1" s="1" t="inlineStr">
        <is>
          <t>画面の具体案</t>
        </is>
      </c>
      <c r="L1" s="1" t="inlineStr">
        <is>
          <t>注意</t>
        </is>
      </c>
    </row>
    <row r="2">
      <c r="A2" s="2" t="n">
        <v>1</v>
      </c>
      <c r="B2" s="3" t="inlineStr">
        <is>
          <t>導入</t>
        </is>
      </c>
      <c r="C2" s="3" t="inlineStr">
        <is>
          <t>周囲を何万人もの見知らぬ他人が行き交う場所で、人はどこまで無防備になれるだろうか。</t>
        </is>
      </c>
      <c r="D2" s="2">
        <f>LEN(C2)</f>
        <v/>
      </c>
      <c r="E2" s="2">
        <f>ROUND(D2/設定!$B$3,1)</f>
        <v/>
      </c>
      <c r="F2" s="2">
        <f>TEXT(0,"m:ss")</f>
        <v/>
      </c>
      <c r="G2" s="4" t="inlineStr">
        <is>
          <t>03 パーティクル</t>
        </is>
      </c>
      <c r="H2" s="5" t="inlineStr">
        <is>
          <t>09 棒人間</t>
        </is>
      </c>
      <c r="I2" s="6" t="inlineStr">
        <is>
          <t>12 キネティック文字</t>
        </is>
      </c>
      <c r="J2" s="7" t="n"/>
      <c r="K2" s="3" t="inlineStr">
        <is>
          <t>真上から見た駅コンコース。無数の点（人）が流れる中、中央の1人だけが立ち止まる。「無防備」の文字がゆっくり浮かぶ。</t>
        </is>
      </c>
      <c r="L2" s="3" t="n"/>
    </row>
    <row r="3">
      <c r="A3" s="2" t="n">
        <v>2</v>
      </c>
      <c r="B3" s="3" t="inlineStr">
        <is>
          <t>導入</t>
        </is>
      </c>
      <c r="C3" s="3" t="inlineStr">
        <is>
          <t>群衆のど真ん中にある四角い箱に足を踏み入れた瞬間、私たちの脳は奇妙な錯誤を起こす。</t>
        </is>
      </c>
      <c r="D3" s="2">
        <f>LEN(C3)</f>
        <v/>
      </c>
      <c r="E3" s="2">
        <f>ROUND(D3/設定!$B$3,1)</f>
        <v/>
      </c>
      <c r="F3" s="2">
        <f>TEXT(SUM(E$1:E2)/86400,"m:ss")</f>
        <v/>
      </c>
      <c r="G3" s="4" t="inlineStr">
        <is>
          <t>03 パーティクル</t>
        </is>
      </c>
      <c r="H3" s="5" t="inlineStr">
        <is>
          <t>05 3Dオブジェクト</t>
        </is>
      </c>
      <c r="I3" s="6" t="inlineStr">
        <is>
          <t>11 ネオン・グリッチ</t>
        </is>
      </c>
      <c r="J3" s="7" t="n"/>
      <c r="K3" s="3" t="inlineStr">
        <is>
          <t>点の流れの中央に黒いキューブが出現。人物が入った瞬間、画面全体が一瞬グリッチして「錯誤」と表示。</t>
        </is>
      </c>
      <c r="L3" s="3" t="n"/>
    </row>
    <row r="4">
      <c r="A4" s="2" t="n">
        <v>3</v>
      </c>
      <c r="B4" s="3" t="inlineStr">
        <is>
          <t>導入</t>
        </is>
      </c>
      <c r="C4" s="3" t="inlineStr">
        <is>
          <t>2026年9月、首都圏の主要ターミナル駅に設置されたテレワーク用防音個室ブース「ステーションポッド」内で、利用者が衣服を脱ぎ捨てて外部に露出する不適切行為の動画がSNSに拡散され、警察が捜査に乗り出す騒動へと発展した。</t>
        </is>
      </c>
      <c r="D4" s="2">
        <f>LEN(C4)</f>
        <v/>
      </c>
      <c r="E4" s="2">
        <f>ROUND(D4/設定!$B$3,1)</f>
        <v/>
      </c>
      <c r="F4" s="2">
        <f>TEXT(SUM(E$1:E3)/86400,"m:ss")</f>
        <v/>
      </c>
      <c r="G4" s="4" t="inlineStr">
        <is>
          <t>04 シェーダー</t>
        </is>
      </c>
      <c r="H4" s="5" t="inlineStr">
        <is>
          <t>01 CSS UI</t>
        </is>
      </c>
      <c r="I4" s="6" t="inlineStr">
        <is>
          <t>12 キネティック文字</t>
        </is>
      </c>
      <c r="J4" s="7" t="n"/>
      <c r="K4" s="3" t="inlineStr">
        <is>
          <t>暗く抑えたシェーダー背景の上に、ニュース見出し風カードと架空のSNS通知UIが積み重なる。「2026年9月」「警察が捜査」を強調。</t>
        </is>
      </c>
      <c r="L4" s="8" t="inlineStr">
        <is>
          <t>露出行為そのものは描かない（ブースの外観と通知UIだけで伝える）。実在のSNS・駅・商品名のロゴは使わない。事件の実在性は「要確認」シート参照。</t>
        </is>
      </c>
    </row>
    <row r="5">
      <c r="A5" s="2" t="n">
        <v>4</v>
      </c>
      <c r="B5" s="3" t="inlineStr">
        <is>
          <t>導入</t>
        </is>
      </c>
      <c r="C5" s="3" t="inlineStr">
        <is>
          <t>モラルの崩壊や利用者の異常性と切り捨てるのは容易だ。</t>
        </is>
      </c>
      <c r="D5" s="2">
        <f>LEN(C5)</f>
        <v/>
      </c>
      <c r="E5" s="2">
        <f>ROUND(D5/設定!$B$3,1)</f>
        <v/>
      </c>
      <c r="F5" s="2">
        <f>TEXT(SUM(E$1:E4)/86400,"m:ss")</f>
        <v/>
      </c>
      <c r="G5" s="4" t="n"/>
      <c r="H5" s="5" t="inlineStr">
        <is>
          <t>09 棒人間</t>
        </is>
      </c>
      <c r="I5" s="6" t="inlineStr">
        <is>
          <t>02 SVG線画・変形</t>
        </is>
      </c>
      <c r="J5" s="7" t="n"/>
      <c r="K5" s="3" t="inlineStr">
        <is>
          <t>群衆が1人の人物を指さす。「モラルの崩壊」「異常性」の文字にSVGの取り消し線が引かれる。</t>
        </is>
      </c>
      <c r="L5" s="3" t="n"/>
    </row>
    <row r="6">
      <c r="A6" s="2" t="n">
        <v>5</v>
      </c>
      <c r="B6" s="3" t="inlineStr">
        <is>
          <t>導入</t>
        </is>
      </c>
      <c r="C6" s="3" t="inlineStr">
        <is>
          <t>だが、この奇行の引き金を引いたのは、特殊な個人の狂気ではなく、現代の空間設計が人間の脳に仕掛けた認知のバグである。</t>
        </is>
      </c>
      <c r="D6" s="2">
        <f>LEN(C6)</f>
        <v/>
      </c>
      <c r="E6" s="2">
        <f>ROUND(D6/設定!$B$3,1)</f>
        <v/>
      </c>
      <c r="F6" s="2">
        <f>TEXT(SUM(E$1:E5)/86400,"m:ss")</f>
        <v/>
      </c>
      <c r="G6" s="4" t="inlineStr">
        <is>
          <t>06 ジェネラティブ</t>
        </is>
      </c>
      <c r="H6" s="5" t="inlineStr">
        <is>
          <t>08 図解（Manim風）</t>
        </is>
      </c>
      <c r="I6" s="6" t="inlineStr">
        <is>
          <t>11 ネオン・グリッチ</t>
        </is>
      </c>
      <c r="J6" s="7" t="n"/>
      <c r="K6" s="3" t="inlineStr">
        <is>
          <t>脳の断面図（線画）の中をジェネラティブなノイズが流れ、「認知のバグ」がグリッチ表示。</t>
        </is>
      </c>
      <c r="L6" s="3" t="n"/>
    </row>
    <row r="7">
      <c r="A7" s="2" t="n">
        <v>6</v>
      </c>
      <c r="B7" s="3" t="inlineStr">
        <is>
          <t>導入</t>
        </is>
      </c>
      <c r="C7" s="3" t="inlineStr">
        <is>
          <t>心理学と社会学の光を当てて解剖してみよう。</t>
        </is>
      </c>
      <c r="D7" s="2">
        <f>LEN(C7)</f>
        <v/>
      </c>
      <c r="E7" s="2">
        <f>ROUND(D7/設定!$B$3,1)</f>
        <v/>
      </c>
      <c r="F7" s="2">
        <f>TEXT(SUM(E$1:E6)/86400,"m:ss")</f>
        <v/>
      </c>
      <c r="G7" s="4" t="inlineStr">
        <is>
          <t>04 シェーダー</t>
        </is>
      </c>
      <c r="H7" s="5" t="n"/>
      <c r="I7" s="6" t="inlineStr">
        <is>
          <t>02 SVG線画・変形</t>
        </is>
      </c>
      <c r="J7" s="7" t="inlineStr">
        <is>
          <t>01 CSS UI</t>
        </is>
      </c>
      <c r="K7" s="3" t="inlineStr">
        <is>
          <t>タイトルカード。「心理学 × 社会学」が一筆書きで描かれ、光が走る。</t>
        </is>
      </c>
      <c r="L7" s="3" t="n"/>
    </row>
    <row r="8">
      <c r="A8" s="9" t="n">
        <v>7</v>
      </c>
      <c r="B8" s="10" t="inlineStr">
        <is>
          <t>① 狭い箱の安全錯覚</t>
        </is>
      </c>
      <c r="C8" s="10" t="inlineStr">
        <is>
          <t>なぜ人は、すぐ外を他人が歩くガラス張りの箱の中で警戒を解いてしまうのか。</t>
        </is>
      </c>
      <c r="D8" s="9">
        <f>LEN(C8)</f>
        <v/>
      </c>
      <c r="E8" s="9">
        <f>ROUND(D8/設定!$B$3,1)</f>
        <v/>
      </c>
      <c r="F8" s="9">
        <f>TEXT(SUM(E$1:E7)/86400,"m:ss")</f>
        <v/>
      </c>
      <c r="G8" s="11" t="n"/>
      <c r="H8" s="12" t="inlineStr">
        <is>
          <t>05 3Dオブジェクト</t>
        </is>
      </c>
      <c r="I8" s="13" t="inlineStr">
        <is>
          <t>12 キネティック文字</t>
        </is>
      </c>
      <c r="J8" s="14" t="inlineStr">
        <is>
          <t>09 棒人間</t>
        </is>
      </c>
      <c r="K8" s="10" t="inlineStr">
        <is>
          <t>ガラス張りの3Dブースを斜め上から回り込む。外を棒人間が歩き、中の人物はくつろぐ。問いの文字が出る。</t>
        </is>
      </c>
      <c r="L8" s="10" t="n"/>
    </row>
    <row r="9">
      <c r="A9" s="2" t="n">
        <v>8</v>
      </c>
      <c r="B9" s="3" t="inlineStr">
        <is>
          <t>① 狭い箱の安全錯覚</t>
        </is>
      </c>
      <c r="C9" s="3" t="inlineStr">
        <is>
          <t>コーネル大学の環境心理学者、ゲイリーエバンスが2000年に都市住民300人を対象に行った実験がある。</t>
        </is>
      </c>
      <c r="D9" s="2">
        <f>LEN(C9)</f>
        <v/>
      </c>
      <c r="E9" s="2">
        <f>ROUND(D9/設定!$B$3,1)</f>
        <v/>
      </c>
      <c r="F9" s="2">
        <f>TEXT(SUM(E$1:E8)/86400,"m:ss")</f>
        <v/>
      </c>
      <c r="G9" s="4" t="n"/>
      <c r="H9" s="5" t="inlineStr">
        <is>
          <t>01 CSS UI</t>
        </is>
      </c>
      <c r="I9" s="6" t="inlineStr">
        <is>
          <t>12 キネティック文字</t>
        </is>
      </c>
      <c r="J9" s="7" t="n"/>
      <c r="K9" s="3" t="inlineStr">
        <is>
          <t>研究カード（大学・研究者名・年・人数）がスライドイン。「300人」をカウントアップ。</t>
        </is>
      </c>
      <c r="L9" s="8" t="inlineStr">
        <is>
          <t>研究内容が確認できていない。「要確認」シート参照。</t>
        </is>
      </c>
    </row>
    <row r="10">
      <c r="A10" s="2" t="n">
        <v>9</v>
      </c>
      <c r="B10" s="3" t="inlineStr">
        <is>
          <t>① 狭い箱の安全錯覚</t>
        </is>
      </c>
      <c r="C10" s="3" t="inlineStr">
        <is>
          <t>被験者を広さの異なる部屋に隔離し、窓の外に人通りがある状況で心拍数とコルチゾール値を計測しながら複雑なパズル課題に取り組ませた。</t>
        </is>
      </c>
      <c r="D10" s="2">
        <f>LEN(C10)</f>
        <v/>
      </c>
      <c r="E10" s="2">
        <f>ROUND(D10/設定!$B$3,1)</f>
        <v/>
      </c>
      <c r="F10" s="2">
        <f>TEXT(SUM(E$1:E9)/86400,"m:ss")</f>
        <v/>
      </c>
      <c r="G10" s="4" t="n"/>
      <c r="H10" s="5" t="inlineStr">
        <is>
          <t>08 図解（Manim風）</t>
        </is>
      </c>
      <c r="I10" s="6" t="n"/>
      <c r="J10" s="7" t="inlineStr">
        <is>
          <t>09 棒人間</t>
        </is>
      </c>
      <c r="K10" s="3" t="inlineStr">
        <is>
          <t>大・中・小の部屋を並べた図解。各部屋で棒人間がパズルに取り組み、横に心拍の波形が流れる。</t>
        </is>
      </c>
      <c r="L10" s="3" t="n"/>
    </row>
    <row r="11">
      <c r="A11" s="2" t="n">
        <v>10</v>
      </c>
      <c r="B11" s="3" t="inlineStr">
        <is>
          <t>① 狭い箱の安全錯覚</t>
        </is>
      </c>
      <c r="C11" s="3" t="inlineStr">
        <is>
          <t>その結果、床面積が狭い空間ほど、外部の視線に対する身体的警戒反応が約40パーセント低下した。</t>
        </is>
      </c>
      <c r="D11" s="2">
        <f>LEN(C11)</f>
        <v/>
      </c>
      <c r="E11" s="2">
        <f>ROUND(D11/設定!$B$3,1)</f>
        <v/>
      </c>
      <c r="F11" s="2">
        <f>TEXT(SUM(E$1:E10)/86400,"m:ss")</f>
        <v/>
      </c>
      <c r="G11" s="4" t="n"/>
      <c r="H11" s="5" t="inlineStr">
        <is>
          <t>07 動くグラフ</t>
        </is>
      </c>
      <c r="I11" s="6" t="inlineStr">
        <is>
          <t>12 キネティック文字</t>
        </is>
      </c>
      <c r="J11" s="7" t="n"/>
      <c r="K11" s="3" t="inlineStr">
        <is>
          <t>部屋の広さ別の警戒反応を棒グラフで表示。小部屋の棒が下がり「−40%」が大きく出る。</t>
        </is>
      </c>
      <c r="L11" s="8" t="inlineStr">
        <is>
          <t>数値の出典が確認できていない。グラフ化すると断定の印象が強まるので、確認後に作る。</t>
        </is>
      </c>
    </row>
    <row r="12">
      <c r="A12" s="2" t="n">
        <v>11</v>
      </c>
      <c r="B12" s="3" t="inlineStr">
        <is>
          <t>① 狭い箱の安全錯覚</t>
        </is>
      </c>
      <c r="C12" s="3" t="inlineStr">
        <is>
          <t>境界線が身体に迫る狭小空間は、脳に疑似的な母親の胎内のような安全シグナルを誤認させる。</t>
        </is>
      </c>
      <c r="D12" s="2">
        <f>LEN(C12)</f>
        <v/>
      </c>
      <c r="E12" s="2">
        <f>ROUND(D12/設定!$B$3,1)</f>
        <v/>
      </c>
      <c r="F12" s="2">
        <f>TEXT(SUM(E$1:E11)/86400,"m:ss")</f>
        <v/>
      </c>
      <c r="G12" s="4" t="inlineStr">
        <is>
          <t>04 シェーダー</t>
        </is>
      </c>
      <c r="H12" s="5" t="inlineStr">
        <is>
          <t>02 SVG線画・変形</t>
        </is>
      </c>
      <c r="I12" s="6" t="inlineStr">
        <is>
          <t>11 ネオン・グリッチ</t>
        </is>
      </c>
      <c r="J12" s="7" t="n"/>
      <c r="K12" s="3" t="inlineStr">
        <is>
          <t>暖色のシェーダー。四角い壁の線が丸く変形して人物を包む。「安全」が表示され、ずれて「誤認」に変わる。</t>
        </is>
      </c>
      <c r="L12" s="3" t="n"/>
    </row>
    <row r="13">
      <c r="A13" s="9" t="n">
        <v>12</v>
      </c>
      <c r="B13" s="10" t="inlineStr">
        <is>
          <t>① 情景描写</t>
        </is>
      </c>
      <c r="C13" s="10" t="inlineStr">
        <is>
          <t>駅の雑踏を思い出してほしい。</t>
        </is>
      </c>
      <c r="D13" s="9">
        <f>LEN(C13)</f>
        <v/>
      </c>
      <c r="E13" s="9">
        <f>ROUND(D13/設定!$B$3,1)</f>
        <v/>
      </c>
      <c r="F13" s="9">
        <f>TEXT(SUM(E$1:E12)/86400,"m:ss")</f>
        <v/>
      </c>
      <c r="G13" s="11" t="inlineStr">
        <is>
          <t>13 パララックス</t>
        </is>
      </c>
      <c r="H13" s="12" t="inlineStr">
        <is>
          <t>09 棒人間</t>
        </is>
      </c>
      <c r="I13" s="13" t="n"/>
      <c r="J13" s="14" t="inlineStr">
        <is>
          <t>03 パーティクル</t>
        </is>
      </c>
      <c r="K13" s="10" t="inlineStr">
        <is>
          <t>駅構内の奥行き（柱・人の層）を多層パララックスで表現。手前ほど速く人が流れる。</t>
        </is>
      </c>
      <c r="L13" s="10" t="n"/>
    </row>
    <row r="14">
      <c r="A14" s="2" t="n">
        <v>13</v>
      </c>
      <c r="B14" s="3" t="inlineStr">
        <is>
          <t>① 情景描写</t>
        </is>
      </c>
      <c r="C14" s="3" t="inlineStr">
        <is>
          <t>何千人もの靴音が反響し、行き交う人々の肩が触れ合う通路の脇に、わずか畳一畳ほどの黒いキューブが鎮座している。</t>
        </is>
      </c>
      <c r="D14" s="2">
        <f>LEN(C14)</f>
        <v/>
      </c>
      <c r="E14" s="2">
        <f>ROUND(D14/設定!$B$3,1)</f>
        <v/>
      </c>
      <c r="F14" s="2">
        <f>TEXT(SUM(E$1:E13)/86400,"m:ss")</f>
        <v/>
      </c>
      <c r="G14" s="4" t="inlineStr">
        <is>
          <t>13 パララックス</t>
        </is>
      </c>
      <c r="H14" s="5" t="inlineStr">
        <is>
          <t>05 3Dオブジェクト</t>
        </is>
      </c>
      <c r="I14" s="6" t="n"/>
      <c r="J14" s="7" t="inlineStr">
        <is>
          <t>03 パーティクル</t>
        </is>
      </c>
      <c r="K14" s="3" t="inlineStr">
        <is>
          <t>カメラが人の流れを抜けると、通路脇に黒いキューブ。「畳一畳」の寸法線をSVGで添えてもよい。</t>
        </is>
      </c>
      <c r="L14" s="3" t="n"/>
    </row>
    <row r="15">
      <c r="A15" s="2" t="n">
        <v>14</v>
      </c>
      <c r="B15" s="3" t="inlineStr">
        <is>
          <t>① 情景描写</t>
        </is>
      </c>
      <c r="C15" s="3" t="inlineStr">
        <is>
          <t>防音ドアを閉めた瞬間、周囲の喧騒は低く籠もった唸り声へと遮断され、目の前には自分専用のモニターと小さなデスクだけが広がる。</t>
        </is>
      </c>
      <c r="D15" s="2">
        <f>LEN(C15)</f>
        <v/>
      </c>
      <c r="E15" s="2">
        <f>ROUND(D15/設定!$B$3,1)</f>
        <v/>
      </c>
      <c r="F15" s="2">
        <f>TEXT(SUM(E$1:E14)/86400,"m:ss")</f>
        <v/>
      </c>
      <c r="G15" s="4" t="inlineStr">
        <is>
          <t>13 パララックス</t>
        </is>
      </c>
      <c r="H15" s="5" t="inlineStr">
        <is>
          <t>09 棒人間</t>
        </is>
      </c>
      <c r="I15" s="6" t="n"/>
      <c r="J15" s="7" t="inlineStr">
        <is>
          <t>01 CSS UI</t>
        </is>
      </c>
      <c r="K15" s="3" t="inlineStr">
        <is>
          <t>ドアが閉まると背景の群衆がぼけて暗くなる。画面端の音量メーター（見本01のイコライザー）が小さくなる。</t>
        </is>
      </c>
      <c r="L15" s="3" t="n"/>
    </row>
    <row r="16">
      <c r="A16" s="2" t="n">
        <v>15</v>
      </c>
      <c r="B16" s="3" t="inlineStr">
        <is>
          <t>① 情景描写</t>
        </is>
      </c>
      <c r="C16" s="3" t="inlineStr">
        <is>
          <t>ほんの数センチ外側をスーツ姿の通勤客が足早に通り過ぎているにもかかわらず、指先が触れる壁の圧迫感が、外の世界をまるでスクリーンの映像のように遠ざけてしまうのだ。</t>
        </is>
      </c>
      <c r="D16" s="2">
        <f>LEN(C16)</f>
        <v/>
      </c>
      <c r="E16" s="2">
        <f>ROUND(D16/設定!$B$3,1)</f>
        <v/>
      </c>
      <c r="F16" s="2">
        <f>TEXT(SUM(E$1:E15)/86400,"m:ss")</f>
        <v/>
      </c>
      <c r="G16" s="4" t="n"/>
      <c r="H16" s="5" t="inlineStr">
        <is>
          <t>09 棒人間</t>
        </is>
      </c>
      <c r="I16" s="6" t="n"/>
      <c r="J16" s="7" t="inlineStr">
        <is>
          <t>11 ネオン・グリッチ</t>
        </is>
      </c>
      <c r="K16" s="3" t="inlineStr">
        <is>
          <t>ブース内の人物の肩越しの視点。ガラスの外の通勤客に走査線と軽いグリッチがかかり、映像のように見える。</t>
        </is>
      </c>
      <c r="L16" s="3" t="n"/>
    </row>
    <row r="17">
      <c r="A17" s="9" t="n">
        <v>16</v>
      </c>
      <c r="B17" s="10" t="inlineStr">
        <is>
          <t>転換</t>
        </is>
      </c>
      <c r="C17" s="10" t="inlineStr">
        <is>
          <t>ここまでは個人の内側の話だ。では社会の側から同じ光景を眺めると、何が見えてくるのだろうか。</t>
        </is>
      </c>
      <c r="D17" s="9">
        <f>LEN(C17)</f>
        <v/>
      </c>
      <c r="E17" s="9">
        <f>ROUND(D17/設定!$B$3,1)</f>
        <v/>
      </c>
      <c r="F17" s="9">
        <f>TEXT(SUM(E$1:E16)/86400,"m:ss")</f>
        <v/>
      </c>
      <c r="G17" s="11" t="n"/>
      <c r="H17" s="12" t="inlineStr">
        <is>
          <t>05 3Dオブジェクト</t>
        </is>
      </c>
      <c r="I17" s="13" t="inlineStr">
        <is>
          <t>12 キネティック文字</t>
        </is>
      </c>
      <c r="J17" s="14" t="n"/>
      <c r="K17" s="10" t="inlineStr">
        <is>
          <t>キューブからカメラが引いていき、駅全体、さらに街全体へ。「個人 → 社会」の文字。</t>
        </is>
      </c>
      <c r="L17" s="10" t="n"/>
    </row>
    <row r="18">
      <c r="A18" s="9" t="n">
        <v>17</v>
      </c>
      <c r="B18" s="10" t="inlineStr">
        <is>
          <t>② 公共空間の細分化</t>
        </is>
      </c>
      <c r="C18" s="10" t="inlineStr">
        <is>
          <t>この現象は、個人の錯覚にとどまらず、都市空間そのものの変容が引き起こした歪みでもある。</t>
        </is>
      </c>
      <c r="D18" s="9">
        <f>LEN(C18)</f>
        <v/>
      </c>
      <c r="E18" s="9">
        <f>ROUND(D18/設定!$B$3,1)</f>
        <v/>
      </c>
      <c r="F18" s="9">
        <f>TEXT(SUM(E$1:E17)/86400,"m:ss")</f>
        <v/>
      </c>
      <c r="G18" s="11" t="inlineStr">
        <is>
          <t>13 パララックス</t>
        </is>
      </c>
      <c r="H18" s="12" t="inlineStr">
        <is>
          <t>06 ジェネラティブ</t>
        </is>
      </c>
      <c r="I18" s="13" t="inlineStr">
        <is>
          <t>12 キネティック文字</t>
        </is>
      </c>
      <c r="J18" s="14" t="n"/>
      <c r="K18" s="10" t="inlineStr">
        <is>
          <t>都市のシルエットがパララックスで流れ、その上にジェネラティブな歪みが広がる。</t>
        </is>
      </c>
      <c r="L18" s="10" t="n"/>
    </row>
    <row r="19">
      <c r="A19" s="2" t="n">
        <v>18</v>
      </c>
      <c r="B19" s="3" t="inlineStr">
        <is>
          <t>② 公共空間の細分化</t>
        </is>
      </c>
      <c r="C19" s="3" t="inlineStr">
        <is>
          <t>社会学者のエドワードソジャが1996年にロサンゼルスの都市再開発地区を調査した研究がある。</t>
        </is>
      </c>
      <c r="D19" s="2">
        <f>LEN(C19)</f>
        <v/>
      </c>
      <c r="E19" s="2">
        <f>ROUND(D19/設定!$B$3,1)</f>
        <v/>
      </c>
      <c r="F19" s="2">
        <f>TEXT(SUM(E$1:E18)/86400,"m:ss")</f>
        <v/>
      </c>
      <c r="G19" s="4" t="n"/>
      <c r="H19" s="5" t="inlineStr">
        <is>
          <t>01 CSS UI</t>
        </is>
      </c>
      <c r="I19" s="6" t="inlineStr">
        <is>
          <t>12 キネティック文字</t>
        </is>
      </c>
      <c r="J19" s="7" t="n"/>
      <c r="K19" s="3" t="inlineStr">
        <is>
          <t>研究カード（研究者名・年・地域）がスライドイン。</t>
        </is>
      </c>
      <c r="L19" s="8" t="inlineStr">
        <is>
          <t>研究内容が確認できていない。「要確認」シート参照。</t>
        </is>
      </c>
    </row>
    <row r="20">
      <c r="A20" s="2" t="n">
        <v>19</v>
      </c>
      <c r="B20" s="3" t="inlineStr">
        <is>
          <t>② 公共空間の細分化</t>
        </is>
      </c>
      <c r="C20" s="3" t="inlineStr">
        <is>
          <t>公共広場をフェンスで囲い、入場料が必要な小規模ブース群へと分割した街区において、人々の行動変容を半年間にわたり定点観測した。</t>
        </is>
      </c>
      <c r="D20" s="2">
        <f>LEN(C20)</f>
        <v/>
      </c>
      <c r="E20" s="2">
        <f>ROUND(D20/設定!$B$3,1)</f>
        <v/>
      </c>
      <c r="F20" s="2">
        <f>TEXT(SUM(E$1:E19)/86400,"m:ss")</f>
        <v/>
      </c>
      <c r="G20" s="4" t="n"/>
      <c r="H20" s="5" t="inlineStr">
        <is>
          <t>08 図解（Manim風）</t>
        </is>
      </c>
      <c r="I20" s="6" t="n"/>
      <c r="J20" s="7" t="inlineStr">
        <is>
          <t>02 SVG線画・変形</t>
        </is>
      </c>
      <c r="K20" s="3" t="inlineStr">
        <is>
          <t>広場の俯瞰図にフェンスの線が一筆書きで引かれ、格子状のブースに分割される。中を棒人間が動く。</t>
        </is>
      </c>
      <c r="L20" s="3" t="n"/>
    </row>
    <row r="21">
      <c r="A21" s="2" t="n">
        <v>20</v>
      </c>
      <c r="B21" s="3" t="inlineStr">
        <is>
          <t>② 公共空間の細分化</t>
        </is>
      </c>
      <c r="C21" s="3" t="inlineStr">
        <is>
          <t>監視カメラの設置密度を高めたにもかかわらず、ブース内での規範逸脱行為は従来の公共空間の約3倍に達した。</t>
        </is>
      </c>
      <c r="D21" s="2">
        <f>LEN(C21)</f>
        <v/>
      </c>
      <c r="E21" s="2">
        <f>ROUND(D21/設定!$B$3,1)</f>
        <v/>
      </c>
      <c r="F21" s="2">
        <f>TEXT(SUM(E$1:E20)/86400,"m:ss")</f>
        <v/>
      </c>
      <c r="G21" s="4" t="n"/>
      <c r="H21" s="5" t="inlineStr">
        <is>
          <t>07 動くグラフ</t>
        </is>
      </c>
      <c r="I21" s="6" t="inlineStr">
        <is>
          <t>12 キネティック文字</t>
        </is>
      </c>
      <c r="J21" s="7" t="inlineStr">
        <is>
          <t>01 CSS UI</t>
        </is>
      </c>
      <c r="K21" s="3" t="inlineStr">
        <is>
          <t>監視カメラのアイコンが次々に増える。横で「従来」と「ブース内」の棒グラフを比べ「約3倍」を表示。</t>
        </is>
      </c>
      <c r="L21" s="8" t="inlineStr">
        <is>
          <t>数値の出典が確認できていない。確認後にグラフ化する。</t>
        </is>
      </c>
    </row>
    <row r="22">
      <c r="A22" s="2" t="n">
        <v>21</v>
      </c>
      <c r="B22" s="3" t="inlineStr">
        <is>
          <t>② 公共空間の細分化</t>
        </is>
      </c>
      <c r="C22" s="3" t="inlineStr">
        <is>
          <t>公共空間の細分化と私有化は、共同体による自然な相互監視の目を無効化し、規律を内側から崩壊させる。</t>
        </is>
      </c>
      <c r="D22" s="2">
        <f>LEN(C22)</f>
        <v/>
      </c>
      <c r="E22" s="2">
        <f>ROUND(D22/設定!$B$3,1)</f>
        <v/>
      </c>
      <c r="F22" s="2">
        <f>TEXT(SUM(E$1:E21)/86400,"m:ss")</f>
        <v/>
      </c>
      <c r="G22" s="4" t="n"/>
      <c r="H22" s="5" t="inlineStr">
        <is>
          <t>08 図解（Manim風）</t>
        </is>
      </c>
      <c r="I22" s="6" t="inlineStr">
        <is>
          <t>12 キネティック文字</t>
        </is>
      </c>
      <c r="J22" s="7" t="inlineStr">
        <is>
          <t>02 SVG線画・変形</t>
        </is>
      </c>
      <c r="K22" s="3" t="inlineStr">
        <is>
          <t>人々のあいだを視線の線が網のように結ぶ。ブースの壁が立つと線が1本ずつ切れて消える。</t>
        </is>
      </c>
      <c r="L22" s="3" t="n"/>
    </row>
    <row r="23">
      <c r="A23" s="2" t="n">
        <v>22</v>
      </c>
      <c r="B23" s="3" t="inlineStr">
        <is>
          <t>② 公共空間の細分化</t>
        </is>
      </c>
      <c r="C23" s="3" t="inlineStr">
        <is>
          <t>かつて駅の待合所やベンチは、誰もが共有し、お互いの視線が交差するパブリックスペースだった。</t>
        </is>
      </c>
      <c r="D23" s="2">
        <f>LEN(C23)</f>
        <v/>
      </c>
      <c r="E23" s="2">
        <f>ROUND(D23/設定!$B$3,1)</f>
        <v/>
      </c>
      <c r="F23" s="2">
        <f>TEXT(SUM(E$1:E22)/86400,"m:ss")</f>
        <v/>
      </c>
      <c r="G23" s="4" t="inlineStr">
        <is>
          <t>13 パララックス</t>
        </is>
      </c>
      <c r="H23" s="5" t="inlineStr">
        <is>
          <t>09 棒人間</t>
        </is>
      </c>
      <c r="I23" s="6" t="n"/>
      <c r="J23" s="7" t="inlineStr">
        <is>
          <t>02 SVG線画・変形</t>
        </is>
      </c>
      <c r="K23" s="3" t="inlineStr">
        <is>
          <t>セピア寄りの色調のパララックス。ベンチに座る人々のあいだを視線の線が行き交う。</t>
        </is>
      </c>
      <c r="L23" s="3" t="n"/>
    </row>
    <row r="24">
      <c r="A24" s="2" t="n">
        <v>23</v>
      </c>
      <c r="B24" s="3" t="inlineStr">
        <is>
          <t>② 公共空間の細分化</t>
        </is>
      </c>
      <c r="C24" s="3" t="inlineStr">
        <is>
          <t>ところが、効率とプライバシーを追求した都市インフラは、共有地の中に「有料で孤立を買うカプセル」を埋め込み始めた。</t>
        </is>
      </c>
      <c r="D24" s="2">
        <f>LEN(C24)</f>
        <v/>
      </c>
      <c r="E24" s="2">
        <f>ROUND(D24/設定!$B$3,1)</f>
        <v/>
      </c>
      <c r="F24" s="2">
        <f>TEXT(SUM(E$1:E23)/86400,"m:ss")</f>
        <v/>
      </c>
      <c r="G24" s="4" t="n"/>
      <c r="H24" s="5" t="inlineStr">
        <is>
          <t>05 3Dオブジェクト</t>
        </is>
      </c>
      <c r="I24" s="6" t="inlineStr">
        <is>
          <t>12 キネティック文字</t>
        </is>
      </c>
      <c r="J24" s="7" t="inlineStr">
        <is>
          <t>01 CSS UI</t>
        </is>
      </c>
      <c r="K24" s="3" t="inlineStr">
        <is>
          <t>床から黒いキューブが次々にせり上がる。各キューブに料金タグ（¥）が付く。</t>
        </is>
      </c>
      <c r="L24" s="3" t="n"/>
    </row>
    <row r="25">
      <c r="A25" s="2" t="n">
        <v>24</v>
      </c>
      <c r="B25" s="3" t="inlineStr">
        <is>
          <t>② 公共空間の細分化</t>
        </is>
      </c>
      <c r="C25" s="3" t="inlineStr">
        <is>
          <t>公共のルールと私室の自由が境界線上で衝突し、公衆道徳の抜け穴が駅のホームにぽっかりと口を開けているのだ。</t>
        </is>
      </c>
      <c r="D25" s="2">
        <f>LEN(C25)</f>
        <v/>
      </c>
      <c r="E25" s="2">
        <f>ROUND(D25/設定!$B$3,1)</f>
        <v/>
      </c>
      <c r="F25" s="2">
        <f>TEXT(SUM(E$1:E24)/86400,"m:ss")</f>
        <v/>
      </c>
      <c r="G25" s="4" t="inlineStr">
        <is>
          <t>04 シェーダー</t>
        </is>
      </c>
      <c r="H25" s="5" t="inlineStr">
        <is>
          <t>08 図解（Manim風）</t>
        </is>
      </c>
      <c r="I25" s="6" t="inlineStr">
        <is>
          <t>11 ネオン・グリッチ</t>
        </is>
      </c>
      <c r="J25" s="7" t="n"/>
      <c r="K25" s="3" t="inlineStr">
        <is>
          <t>「公共」と「私室」の領域がぶつかる図解。境界線がグリッチして裂け、穴が開く。</t>
        </is>
      </c>
      <c r="L25" s="3" t="n"/>
    </row>
    <row r="26">
      <c r="A26" s="9" t="n">
        <v>25</v>
      </c>
      <c r="B26" s="10" t="inlineStr">
        <is>
          <t>転換</t>
        </is>
      </c>
      <c r="C26" s="10" t="inlineStr">
        <is>
          <t>都市の合理化が皮肉にも公徳心を麻痺させたことは分かった。では、そもそもなぜその仕組みは必要とされたのか。</t>
        </is>
      </c>
      <c r="D26" s="9">
        <f>LEN(C26)</f>
        <v/>
      </c>
      <c r="E26" s="9">
        <f>ROUND(D26/設定!$B$3,1)</f>
        <v/>
      </c>
      <c r="F26" s="9">
        <f>TEXT(SUM(E$1:E25)/86400,"m:ss")</f>
        <v/>
      </c>
      <c r="G26" s="11" t="n"/>
      <c r="H26" s="12" t="n"/>
      <c r="I26" s="13" t="inlineStr">
        <is>
          <t>12 キネティック文字</t>
        </is>
      </c>
      <c r="J26" s="14" t="n"/>
      <c r="K26" s="10" t="inlineStr">
        <is>
          <t>文字だけの転換カット。問いの文字が1語ずつ出る。</t>
        </is>
      </c>
      <c r="L26" s="10" t="n"/>
    </row>
    <row r="27">
      <c r="A27" s="9" t="n">
        <v>26</v>
      </c>
      <c r="B27" s="10" t="inlineStr">
        <is>
          <t>③ 常時接続からの脱走</t>
        </is>
      </c>
      <c r="C27" s="10" t="inlineStr">
        <is>
          <t>個室ブースでの逸脱は、単なる恥知らずの犯行ではなく、過剰に接続された現代社会からの暴力的な脱走劇である。</t>
        </is>
      </c>
      <c r="D27" s="9">
        <f>LEN(C27)</f>
        <v/>
      </c>
      <c r="E27" s="9">
        <f>ROUND(D27/設定!$B$3,1)</f>
        <v/>
      </c>
      <c r="F27" s="9">
        <f>TEXT(SUM(E$1:E26)/86400,"m:ss")</f>
        <v/>
      </c>
      <c r="G27" s="11" t="inlineStr">
        <is>
          <t>03 パーティクル</t>
        </is>
      </c>
      <c r="H27" s="12" t="inlineStr">
        <is>
          <t>09 棒人間</t>
        </is>
      </c>
      <c r="I27" s="13" t="inlineStr">
        <is>
          <t>12 キネティック文字</t>
        </is>
      </c>
      <c r="J27" s="14" t="n"/>
      <c r="K27" s="10" t="inlineStr">
        <is>
          <t>パーティクルの接続線（見本03）が人物に絡みつく。「脱走劇」の文字が強く出る。</t>
        </is>
      </c>
      <c r="L27" s="10" t="n"/>
    </row>
    <row r="28">
      <c r="A28" s="2" t="n">
        <v>27</v>
      </c>
      <c r="B28" s="3" t="inlineStr">
        <is>
          <t>③ 常時接続からの脱走</t>
        </is>
      </c>
      <c r="C28" s="3" t="inlineStr">
        <is>
          <t>社会学者のシェリータークルが2011年にビジネスパーソン200人を追跡した調査がある。</t>
        </is>
      </c>
      <c r="D28" s="2">
        <f>LEN(C28)</f>
        <v/>
      </c>
      <c r="E28" s="2">
        <f>ROUND(D28/設定!$B$3,1)</f>
        <v/>
      </c>
      <c r="F28" s="2">
        <f>TEXT(SUM(E$1:E27)/86400,"m:ss")</f>
        <v/>
      </c>
      <c r="G28" s="4" t="n"/>
      <c r="H28" s="5" t="inlineStr">
        <is>
          <t>01 CSS UI</t>
        </is>
      </c>
      <c r="I28" s="6" t="inlineStr">
        <is>
          <t>12 キネティック文字</t>
        </is>
      </c>
      <c r="J28" s="7" t="n"/>
      <c r="K28" s="3" t="inlineStr">
        <is>
          <t>研究カード（研究者名・年・人数）。「200人」をカウントアップ。</t>
        </is>
      </c>
      <c r="L28" s="8" t="inlineStr">
        <is>
          <t>調査内容が確認できていない。「要確認」シート参照。</t>
        </is>
      </c>
    </row>
    <row r="29">
      <c r="A29" s="2" t="n">
        <v>28</v>
      </c>
      <c r="B29" s="3" t="inlineStr">
        <is>
          <t>③ 常時接続からの脱走</t>
        </is>
      </c>
      <c r="C29" s="3" t="inlineStr">
        <is>
          <t>常にスマートフォンで連絡を義務づけられた被験者に、1日1時間だけ通信を遮断した閉鎖空間を提供し、心理的変化を記録させた。</t>
        </is>
      </c>
      <c r="D29" s="2">
        <f>LEN(C29)</f>
        <v/>
      </c>
      <c r="E29" s="2">
        <f>ROUND(D29/設定!$B$3,1)</f>
        <v/>
      </c>
      <c r="F29" s="2">
        <f>TEXT(SUM(E$1:E28)/86400,"m:ss")</f>
        <v/>
      </c>
      <c r="G29" s="4" t="n"/>
      <c r="H29" s="5" t="inlineStr">
        <is>
          <t>09 棒人間</t>
        </is>
      </c>
      <c r="I29" s="6" t="n"/>
      <c r="J29" s="7" t="inlineStr">
        <is>
          <t>01 CSS UI</t>
        </is>
      </c>
      <c r="K29" s="3" t="inlineStr">
        <is>
          <t>スマホの通知バッジが増え続ける人物。閉鎖空間に入ると通知が止まり、1時間タイマーが動き出す。</t>
        </is>
      </c>
      <c r="L29" s="3" t="n"/>
    </row>
    <row r="30">
      <c r="A30" s="2" t="n">
        <v>29</v>
      </c>
      <c r="B30" s="3" t="inlineStr">
        <is>
          <t>③ 常時接続からの脱走</t>
        </is>
      </c>
      <c r="C30" s="3" t="inlineStr">
        <is>
          <t>追跡対象の約70パーセントが、社会的な規範意識よりも強烈な自己解放感を優先し、衝動的な行動を強く望んだ。</t>
        </is>
      </c>
      <c r="D30" s="2">
        <f>LEN(C30)</f>
        <v/>
      </c>
      <c r="E30" s="2">
        <f>ROUND(D30/設定!$B$3,1)</f>
        <v/>
      </c>
      <c r="F30" s="2">
        <f>TEXT(SUM(E$1:E29)/86400,"m:ss")</f>
        <v/>
      </c>
      <c r="G30" s="4" t="n"/>
      <c r="H30" s="5" t="inlineStr">
        <is>
          <t>07 動くグラフ</t>
        </is>
      </c>
      <c r="I30" s="6" t="inlineStr">
        <is>
          <t>12 キネティック文字</t>
        </is>
      </c>
      <c r="J30" s="7" t="n"/>
      <c r="K30" s="3" t="inlineStr">
        <is>
          <t>円グラフが70%まで伸び、「規範意識 &lt; 自己解放感」を天秤の図で添える。</t>
        </is>
      </c>
      <c r="L30" s="8" t="inlineStr">
        <is>
          <t>数値の出典が確認できていない。確認後にグラフ化する。</t>
        </is>
      </c>
    </row>
    <row r="31">
      <c r="A31" s="2" t="n">
        <v>30</v>
      </c>
      <c r="B31" s="3" t="inlineStr">
        <is>
          <t>③ 常時接続からの脱走</t>
        </is>
      </c>
      <c r="C31" s="3" t="inlineStr">
        <is>
          <t>常時接続の緊張から逃れる避難所を求めた人間は、規範そのものを脱ぎ捨てる。</t>
        </is>
      </c>
      <c r="D31" s="2">
        <f>LEN(C31)</f>
        <v/>
      </c>
      <c r="E31" s="2">
        <f>ROUND(D31/設定!$B$3,1)</f>
        <v/>
      </c>
      <c r="F31" s="2">
        <f>TEXT(SUM(E$1:E30)/86400,"m:ss")</f>
        <v/>
      </c>
      <c r="G31" s="4" t="inlineStr">
        <is>
          <t>03 パーティクル</t>
        </is>
      </c>
      <c r="H31" s="5" t="inlineStr">
        <is>
          <t>09 棒人間</t>
        </is>
      </c>
      <c r="I31" s="6" t="n"/>
      <c r="J31" s="7" t="n"/>
      <c r="K31" s="3" t="inlineStr">
        <is>
          <t>人物に絡んだ接続線が1本ずつ切れていき、人物が上着（＝規範の比喩）を脱ぎ落とす。</t>
        </is>
      </c>
      <c r="L31" s="8" t="inlineStr">
        <is>
          <t>「脱ぎ捨てる」は比喩として描き、裸体は描かない。</t>
        </is>
      </c>
    </row>
    <row r="32">
      <c r="A32" s="9" t="n">
        <v>31</v>
      </c>
      <c r="B32" s="10" t="inlineStr">
        <is>
          <t>結論</t>
        </is>
      </c>
      <c r="C32" s="10" t="inlineStr">
        <is>
          <t>あの四角い箱は、監視と接続に疲れ果てた私たちが、群衆の中でプライベートを取り戻すために生み出した現代のシェルターだった。</t>
        </is>
      </c>
      <c r="D32" s="9">
        <f>LEN(C32)</f>
        <v/>
      </c>
      <c r="E32" s="9">
        <f>ROUND(D32/設定!$B$3,1)</f>
        <v/>
      </c>
      <c r="F32" s="9">
        <f>TEXT(SUM(E$1:E31)/86400,"m:ss")</f>
        <v/>
      </c>
      <c r="G32" s="11" t="inlineStr">
        <is>
          <t>15 雨・天候</t>
        </is>
      </c>
      <c r="H32" s="12" t="inlineStr">
        <is>
          <t>05 3Dオブジェクト</t>
        </is>
      </c>
      <c r="I32" s="13" t="n"/>
      <c r="J32" s="14" t="inlineStr">
        <is>
          <t>13 パララックス</t>
        </is>
      </c>
      <c r="K32" s="10" t="inlineStr">
        <is>
          <t>夜の雨が降る街（パララックス）。雨の中でキューブだけが暖かく灯る。</t>
        </is>
      </c>
      <c r="L32" s="10" t="n"/>
    </row>
    <row r="33">
      <c r="A33" s="2" t="n">
        <v>32</v>
      </c>
      <c r="B33" s="3" t="inlineStr">
        <is>
          <t>結論</t>
        </is>
      </c>
      <c r="C33" s="3" t="inlineStr">
        <is>
          <t>あなたは、扉一枚で隔てられたその箱の中で、自分を完全にコントロールできると言い切れるだろうか。</t>
        </is>
      </c>
      <c r="D33" s="2">
        <f>LEN(C33)</f>
        <v/>
      </c>
      <c r="E33" s="2">
        <f>ROUND(D33/設定!$B$3,1)</f>
        <v/>
      </c>
      <c r="F33" s="2">
        <f>TEXT(SUM(E$1:E32)/86400,"m:ss")</f>
        <v/>
      </c>
      <c r="G33" s="4" t="n"/>
      <c r="H33" s="5" t="inlineStr">
        <is>
          <t>09 棒人間</t>
        </is>
      </c>
      <c r="I33" s="6" t="inlineStr">
        <is>
          <t>12 キネティック文字</t>
        </is>
      </c>
      <c r="J33" s="7" t="inlineStr">
        <is>
          <t>11 ネオン・グリッチ</t>
        </is>
      </c>
      <c r="K33" s="3" t="inlineStr">
        <is>
          <t>キューブの中の人物にカメラがゆっくり寄る。問いの文字が出て、最後に一瞬だけグリッチ。</t>
        </is>
      </c>
      <c r="L33" s="3" t="n"/>
    </row>
    <row r="34">
      <c r="A34" s="9" t="n">
        <v>33</v>
      </c>
      <c r="B34" s="10" t="inlineStr">
        <is>
          <t>エンディング</t>
        </is>
      </c>
      <c r="C34" s="10" t="inlineStr">
        <is>
          <t>社会を科学する。</t>
        </is>
      </c>
      <c r="D34" s="9">
        <f>LEN(C34)</f>
        <v/>
      </c>
      <c r="E34" s="9">
        <f>ROUND(D34/設定!$B$3,1)</f>
        <v/>
      </c>
      <c r="F34" s="9">
        <f>TEXT(SUM(E$1:E33)/86400,"m:ss")</f>
        <v/>
      </c>
      <c r="G34" s="11" t="inlineStr">
        <is>
          <t>04 シェーダー</t>
        </is>
      </c>
      <c r="H34" s="12" t="n"/>
      <c r="I34" s="13" t="inlineStr">
        <is>
          <t>02 SVG線画・変形</t>
        </is>
      </c>
      <c r="J34" s="14" t="n"/>
      <c r="K34" s="10" t="inlineStr">
        <is>
          <t>チャンネルのキャッチコピーを線画で描く。背景のシェーダーを落ち着いた色にする。</t>
        </is>
      </c>
      <c r="L34" s="10" t="n"/>
    </row>
    <row r="35">
      <c r="A35" s="2" t="n">
        <v>34</v>
      </c>
      <c r="B35" s="3" t="inlineStr">
        <is>
          <t>エンディング</t>
        </is>
      </c>
      <c r="C35" s="3" t="inlineStr">
        <is>
          <t>密閉された小部屋に入ったとき、あなたならどんな衝動を感じるか、ぜひコメント欄で教えてほしい。</t>
        </is>
      </c>
      <c r="D35" s="2">
        <f>LEN(C35)</f>
        <v/>
      </c>
      <c r="E35" s="2">
        <f>ROUND(D35/設定!$B$3,1)</f>
        <v/>
      </c>
      <c r="F35" s="2">
        <f>TEXT(SUM(E$1:E34)/86400,"m:ss")</f>
        <v/>
      </c>
      <c r="G35" s="4" t="n"/>
      <c r="H35" s="5" t="inlineStr">
        <is>
          <t>01 CSS UI</t>
        </is>
      </c>
      <c r="I35" s="6" t="inlineStr">
        <is>
          <t>12 キネティック文字</t>
        </is>
      </c>
      <c r="J35" s="7" t="n"/>
      <c r="K35" s="3" t="inlineStr">
        <is>
          <t>コメント入力欄風のUIに問いの文字が入力されていく。</t>
        </is>
      </c>
      <c r="L35" s="3" t="n"/>
    </row>
    <row r="36">
      <c r="A36" s="2" t="n">
        <v>35</v>
      </c>
      <c r="B36" s="3" t="inlineStr">
        <is>
          <t>エンディング</t>
        </is>
      </c>
      <c r="C36" s="3" t="inlineStr">
        <is>
          <t>次回もニュースを一緒に深く分析したい方は、チャンネル登録をお願いします。</t>
        </is>
      </c>
      <c r="D36" s="2">
        <f>LEN(C36)</f>
        <v/>
      </c>
      <c r="E36" s="2">
        <f>ROUND(D36/設定!$B$3,1)</f>
        <v/>
      </c>
      <c r="F36" s="2">
        <f>TEXT(SUM(E$1:E35)/86400,"m:ss")</f>
        <v/>
      </c>
      <c r="G36" s="4" t="n"/>
      <c r="H36" s="5" t="inlineStr">
        <is>
          <t>01 CSS UI</t>
        </is>
      </c>
      <c r="I36" s="6" t="n"/>
      <c r="J36" s="7" t="n"/>
      <c r="K36" s="3" t="inlineStr">
        <is>
          <t>登録ボタン（見本01の弾むボタン）が光る。</t>
        </is>
      </c>
      <c r="L36" s="3" t="n"/>
    </row>
  </sheetData>
  <autoFilter ref="A1:L36"/>
  <dataValidations count="1">
    <dataValidation sqref="G2:J36" showDropDown="0" showInputMessage="0" showErrorMessage="0" allowBlank="1" type="list">
      <formula1>=スタイル一覧!$B$2:$B$16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2" customWidth="1" min="3" max="3"/>
    <col width="52" customWidth="1" min="4" max="4"/>
    <col width="9" customWidth="1" min="5" max="5"/>
    <col width="9" customWidth="1" min="6" max="6"/>
    <col width="9" customWidth="1" min="7" max="7"/>
    <col width="9" customWidth="1" min="8" max="8"/>
    <col width="9" customWidth="1" min="9" max="9"/>
  </cols>
  <sheetData>
    <row r="1">
      <c r="A1" s="1" t="inlineStr">
        <is>
          <t>No</t>
        </is>
      </c>
      <c r="B1" s="1" t="inlineStr">
        <is>
          <t>スタイル</t>
        </is>
      </c>
      <c r="C1" s="1" t="inlineStr">
        <is>
          <t>役割</t>
        </is>
      </c>
      <c r="D1" s="1" t="inlineStr">
        <is>
          <t>この台本での使いどころ</t>
        </is>
      </c>
      <c r="E1" s="1" t="inlineStr">
        <is>
          <t>使用回数</t>
        </is>
      </c>
      <c r="F1" s="1" t="inlineStr">
        <is>
          <t>うち背景</t>
        </is>
      </c>
      <c r="G1" s="1" t="inlineStr">
        <is>
          <t>うち主役</t>
        </is>
      </c>
      <c r="H1" s="1" t="inlineStr">
        <is>
          <t>うち文字</t>
        </is>
      </c>
      <c r="I1" s="1" t="inlineStr">
        <is>
          <t>うち仕上げ</t>
        </is>
      </c>
    </row>
    <row r="2">
      <c r="A2" s="2" t="n">
        <v>1</v>
      </c>
      <c r="B2" s="3" t="inlineStr">
        <is>
          <t>01 CSS UI</t>
        </is>
      </c>
      <c r="C2" s="3" t="inlineStr">
        <is>
          <t>仕上げ</t>
        </is>
      </c>
      <c r="D2" s="3" t="inlineStr">
        <is>
          <t>研究カード、SNS通知、音量メーター、コメント欄・登録ボタンなどのUI</t>
        </is>
      </c>
      <c r="E2" s="2">
        <f>COUNTIF('シーン割り'!$G$2:$J$36,B2)</f>
        <v/>
      </c>
      <c r="F2" s="2">
        <f>COUNTIF('シーン割り'!$G$2:$G$36,B2)</f>
        <v/>
      </c>
      <c r="G2" s="2">
        <f>COUNTIF('シーン割り'!$H$2:$H$36,B2)</f>
        <v/>
      </c>
      <c r="H2" s="2">
        <f>COUNTIF('シーン割り'!$I$2:$I$36,B2)</f>
        <v/>
      </c>
      <c r="I2" s="2">
        <f>COUNTIF('シーン割り'!$J$2:$J$36,B2)</f>
        <v/>
      </c>
    </row>
    <row r="3">
      <c r="A3" s="2" t="n">
        <v>2</v>
      </c>
      <c r="B3" s="3" t="inlineStr">
        <is>
          <t>02 SVG線画・変形</t>
        </is>
      </c>
      <c r="C3" s="3" t="inlineStr">
        <is>
          <t>文字・仕上げ</t>
        </is>
      </c>
      <c r="D3" s="3" t="inlineStr">
        <is>
          <t>タイトルの線画、フェンスや視線の線、取り消し線、壁が丸くなる変形</t>
        </is>
      </c>
      <c r="E3" s="2">
        <f>COUNTIF('シーン割り'!$G$2:$J$36,B3)</f>
        <v/>
      </c>
      <c r="F3" s="2">
        <f>COUNTIF('シーン割り'!$G$2:$G$36,B3)</f>
        <v/>
      </c>
      <c r="G3" s="2">
        <f>COUNTIF('シーン割り'!$H$2:$H$36,B3)</f>
        <v/>
      </c>
      <c r="H3" s="2">
        <f>COUNTIF('シーン割り'!$I$2:$I$36,B3)</f>
        <v/>
      </c>
      <c r="I3" s="2">
        <f>COUNTIF('シーン割り'!$J$2:$J$36,B3)</f>
        <v/>
      </c>
    </row>
    <row r="4">
      <c r="A4" s="2" t="n">
        <v>3</v>
      </c>
      <c r="B4" s="3" t="inlineStr">
        <is>
          <t>03 パーティクル</t>
        </is>
      </c>
      <c r="C4" s="3" t="inlineStr">
        <is>
          <t>背景</t>
        </is>
      </c>
      <c r="D4" s="3" t="inlineStr">
        <is>
          <t>群衆の流れ、常時接続の網（線が切れる演出）</t>
        </is>
      </c>
      <c r="E4" s="2">
        <f>COUNTIF('シーン割り'!$G$2:$J$36,B4)</f>
        <v/>
      </c>
      <c r="F4" s="2">
        <f>COUNTIF('シーン割り'!$G$2:$G$36,B4)</f>
        <v/>
      </c>
      <c r="G4" s="2">
        <f>COUNTIF('シーン割り'!$H$2:$H$36,B4)</f>
        <v/>
      </c>
      <c r="H4" s="2">
        <f>COUNTIF('シーン割り'!$I$2:$I$36,B4)</f>
        <v/>
      </c>
      <c r="I4" s="2">
        <f>COUNTIF('シーン割り'!$J$2:$J$36,B4)</f>
        <v/>
      </c>
    </row>
    <row r="5">
      <c r="A5" s="2" t="n">
        <v>4</v>
      </c>
      <c r="B5" s="3" t="inlineStr">
        <is>
          <t>04 シェーダー</t>
        </is>
      </c>
      <c r="C5" s="3" t="inlineStr">
        <is>
          <t>背景</t>
        </is>
      </c>
      <c r="D5" s="3" t="inlineStr">
        <is>
          <t>タイトル・ニュース・胎内の比喩など、感情の色を出す場面</t>
        </is>
      </c>
      <c r="E5" s="2">
        <f>COUNTIF('シーン割り'!$G$2:$J$36,B5)</f>
        <v/>
      </c>
      <c r="F5" s="2">
        <f>COUNTIF('シーン割り'!$G$2:$G$36,B5)</f>
        <v/>
      </c>
      <c r="G5" s="2">
        <f>COUNTIF('シーン割り'!$H$2:$H$36,B5)</f>
        <v/>
      </c>
      <c r="H5" s="2">
        <f>COUNTIF('シーン割り'!$I$2:$I$36,B5)</f>
        <v/>
      </c>
      <c r="I5" s="2">
        <f>COUNTIF('シーン割り'!$J$2:$J$36,B5)</f>
        <v/>
      </c>
    </row>
    <row r="6">
      <c r="A6" s="2" t="n">
        <v>5</v>
      </c>
      <c r="B6" s="3" t="inlineStr">
        <is>
          <t>05 3Dオブジェクト</t>
        </is>
      </c>
      <c r="C6" s="3" t="inlineStr">
        <is>
          <t>主役</t>
        </is>
      </c>
      <c r="D6" s="3" t="inlineStr">
        <is>
          <t>黒いキューブ（ステーションポッド）、カメラの引き・寄り</t>
        </is>
      </c>
      <c r="E6" s="2">
        <f>COUNTIF('シーン割り'!$G$2:$J$36,B6)</f>
        <v/>
      </c>
      <c r="F6" s="2">
        <f>COUNTIF('シーン割り'!$G$2:$G$36,B6)</f>
        <v/>
      </c>
      <c r="G6" s="2">
        <f>COUNTIF('シーン割り'!$H$2:$H$36,B6)</f>
        <v/>
      </c>
      <c r="H6" s="2">
        <f>COUNTIF('シーン割り'!$I$2:$I$36,B6)</f>
        <v/>
      </c>
      <c r="I6" s="2">
        <f>COUNTIF('シーン割り'!$J$2:$J$36,B6)</f>
        <v/>
      </c>
    </row>
    <row r="7">
      <c r="A7" s="2" t="n">
        <v>6</v>
      </c>
      <c r="B7" s="3" t="inlineStr">
        <is>
          <t>06 ジェネラティブ</t>
        </is>
      </c>
      <c r="C7" s="3" t="inlineStr">
        <is>
          <t>背景</t>
        </is>
      </c>
      <c r="D7" s="3" t="inlineStr">
        <is>
          <t>脳の中のノイズ、都市の歪み</t>
        </is>
      </c>
      <c r="E7" s="2">
        <f>COUNTIF('シーン割り'!$G$2:$J$36,B7)</f>
        <v/>
      </c>
      <c r="F7" s="2">
        <f>COUNTIF('シーン割り'!$G$2:$G$36,B7)</f>
        <v/>
      </c>
      <c r="G7" s="2">
        <f>COUNTIF('シーン割り'!$H$2:$H$36,B7)</f>
        <v/>
      </c>
      <c r="H7" s="2">
        <f>COUNTIF('シーン割り'!$I$2:$I$36,B7)</f>
        <v/>
      </c>
      <c r="I7" s="2">
        <f>COUNTIF('シーン割り'!$J$2:$J$36,B7)</f>
        <v/>
      </c>
    </row>
    <row r="8">
      <c r="A8" s="2" t="n">
        <v>7</v>
      </c>
      <c r="B8" s="3" t="inlineStr">
        <is>
          <t>07 動くグラフ</t>
        </is>
      </c>
      <c r="C8" s="3" t="inlineStr">
        <is>
          <t>主役</t>
        </is>
      </c>
      <c r="D8" s="3" t="inlineStr">
        <is>
          <t>研究結果の数値（−40%、約3倍、70%）※出典確認後</t>
        </is>
      </c>
      <c r="E8" s="2">
        <f>COUNTIF('シーン割り'!$G$2:$J$36,B8)</f>
        <v/>
      </c>
      <c r="F8" s="2">
        <f>COUNTIF('シーン割り'!$G$2:$G$36,B8)</f>
        <v/>
      </c>
      <c r="G8" s="2">
        <f>COUNTIF('シーン割り'!$H$2:$H$36,B8)</f>
        <v/>
      </c>
      <c r="H8" s="2">
        <f>COUNTIF('シーン割り'!$I$2:$I$36,B8)</f>
        <v/>
      </c>
      <c r="I8" s="2">
        <f>COUNTIF('シーン割り'!$J$2:$J$36,B8)</f>
        <v/>
      </c>
    </row>
    <row r="9">
      <c r="A9" s="2" t="n">
        <v>8</v>
      </c>
      <c r="B9" s="3" t="inlineStr">
        <is>
          <t>08 図解（Manim風）</t>
        </is>
      </c>
      <c r="C9" s="3" t="inlineStr">
        <is>
          <t>主役</t>
        </is>
      </c>
      <c r="D9" s="3" t="inlineStr">
        <is>
          <t>部屋の比較、広場の分割、視線の網、公共と私室の衝突</t>
        </is>
      </c>
      <c r="E9" s="2">
        <f>COUNTIF('シーン割り'!$G$2:$J$36,B9)</f>
        <v/>
      </c>
      <c r="F9" s="2">
        <f>COUNTIF('シーン割り'!$G$2:$G$36,B9)</f>
        <v/>
      </c>
      <c r="G9" s="2">
        <f>COUNTIF('シーン割り'!$H$2:$H$36,B9)</f>
        <v/>
      </c>
      <c r="H9" s="2">
        <f>COUNTIF('シーン割り'!$I$2:$I$36,B9)</f>
        <v/>
      </c>
      <c r="I9" s="2">
        <f>COUNTIF('シーン割り'!$J$2:$J$36,B9)</f>
        <v/>
      </c>
    </row>
    <row r="10">
      <c r="A10" s="2" t="n">
        <v>9</v>
      </c>
      <c r="B10" s="3" t="inlineStr">
        <is>
          <t>09 棒人間</t>
        </is>
      </c>
      <c r="C10" s="3" t="inlineStr">
        <is>
          <t>主役</t>
        </is>
      </c>
      <c r="D10" s="3" t="inlineStr">
        <is>
          <t>利用者・通勤客・被験者などすべての人物</t>
        </is>
      </c>
      <c r="E10" s="2">
        <f>COUNTIF('シーン割り'!$G$2:$J$36,B10)</f>
        <v/>
      </c>
      <c r="F10" s="2">
        <f>COUNTIF('シーン割り'!$G$2:$G$36,B10)</f>
        <v/>
      </c>
      <c r="G10" s="2">
        <f>COUNTIF('シーン割り'!$H$2:$H$36,B10)</f>
        <v/>
      </c>
      <c r="H10" s="2">
        <f>COUNTIF('シーン割り'!$I$2:$I$36,B10)</f>
        <v/>
      </c>
      <c r="I10" s="2">
        <f>COUNTIF('シーン割り'!$J$2:$J$36,B10)</f>
        <v/>
      </c>
    </row>
    <row r="11">
      <c r="A11" s="15" t="n">
        <v>10</v>
      </c>
      <c r="B11" s="16" t="inlineStr">
        <is>
          <t>10 ドット絵</t>
        </is>
      </c>
      <c r="C11" s="16" t="inlineStr">
        <is>
          <t>不使用</t>
        </is>
      </c>
      <c r="D11" s="16" t="inlineStr">
        <is>
          <t>ドット絵は深刻なニュースの雰囲気と合わないため使わない</t>
        </is>
      </c>
      <c r="E11" s="15">
        <f>COUNTIF('シーン割り'!$G$2:$J$36,B11)</f>
        <v/>
      </c>
      <c r="F11" s="15">
        <f>COUNTIF('シーン割り'!$G$2:$G$36,B11)</f>
        <v/>
      </c>
      <c r="G11" s="15">
        <f>COUNTIF('シーン割り'!$H$2:$H$36,B11)</f>
        <v/>
      </c>
      <c r="H11" s="15">
        <f>COUNTIF('シーン割り'!$I$2:$I$36,B11)</f>
        <v/>
      </c>
      <c r="I11" s="15">
        <f>COUNTIF('シーン割り'!$J$2:$J$36,B11)</f>
        <v/>
      </c>
    </row>
    <row r="12">
      <c r="A12" s="2" t="n">
        <v>11</v>
      </c>
      <c r="B12" s="3" t="inlineStr">
        <is>
          <t>11 ネオン・グリッチ</t>
        </is>
      </c>
      <c r="C12" s="3" t="inlineStr">
        <is>
          <t>文字・仕上げ</t>
        </is>
      </c>
      <c r="D12" s="3" t="inlineStr">
        <is>
          <t>「錯誤」「認知のバグ」「誤認」など、脳のバグを表す言葉と場面</t>
        </is>
      </c>
      <c r="E12" s="2">
        <f>COUNTIF('シーン割り'!$G$2:$J$36,B12)</f>
        <v/>
      </c>
      <c r="F12" s="2">
        <f>COUNTIF('シーン割り'!$G$2:$G$36,B12)</f>
        <v/>
      </c>
      <c r="G12" s="2">
        <f>COUNTIF('シーン割り'!$H$2:$H$36,B12)</f>
        <v/>
      </c>
      <c r="H12" s="2">
        <f>COUNTIF('シーン割り'!$I$2:$I$36,B12)</f>
        <v/>
      </c>
      <c r="I12" s="2">
        <f>COUNTIF('シーン割り'!$J$2:$J$36,B12)</f>
        <v/>
      </c>
    </row>
    <row r="13">
      <c r="A13" s="2" t="n">
        <v>12</v>
      </c>
      <c r="B13" s="3" t="inlineStr">
        <is>
          <t>12 キネティック文字</t>
        </is>
      </c>
      <c r="C13" s="3" t="inlineStr">
        <is>
          <t>文字</t>
        </is>
      </c>
      <c r="D13" s="3" t="inlineStr">
        <is>
          <t>問いかけ、キーワード、数値の強調</t>
        </is>
      </c>
      <c r="E13" s="2">
        <f>COUNTIF('シーン割り'!$G$2:$J$36,B13)</f>
        <v/>
      </c>
      <c r="F13" s="2">
        <f>COUNTIF('シーン割り'!$G$2:$G$36,B13)</f>
        <v/>
      </c>
      <c r="G13" s="2">
        <f>COUNTIF('シーン割り'!$H$2:$H$36,B13)</f>
        <v/>
      </c>
      <c r="H13" s="2">
        <f>COUNTIF('シーン割り'!$I$2:$I$36,B13)</f>
        <v/>
      </c>
      <c r="I13" s="2">
        <f>COUNTIF('シーン割り'!$J$2:$J$36,B13)</f>
        <v/>
      </c>
    </row>
    <row r="14">
      <c r="A14" s="2" t="n">
        <v>13</v>
      </c>
      <c r="B14" s="3" t="inlineStr">
        <is>
          <t>13 パララックス</t>
        </is>
      </c>
      <c r="C14" s="3" t="inlineStr">
        <is>
          <t>背景</t>
        </is>
      </c>
      <c r="D14" s="3" t="inlineStr">
        <is>
          <t>駅構内の奥行き、都市のシルエット、昔の待合所</t>
        </is>
      </c>
      <c r="E14" s="2">
        <f>COUNTIF('シーン割り'!$G$2:$J$36,B14)</f>
        <v/>
      </c>
      <c r="F14" s="2">
        <f>COUNTIF('シーン割り'!$G$2:$G$36,B14)</f>
        <v/>
      </c>
      <c r="G14" s="2">
        <f>COUNTIF('シーン割り'!$H$2:$H$36,B14)</f>
        <v/>
      </c>
      <c r="H14" s="2">
        <f>COUNTIF('シーン割り'!$I$2:$I$36,B14)</f>
        <v/>
      </c>
      <c r="I14" s="2">
        <f>COUNTIF('シーン割り'!$J$2:$J$36,B14)</f>
        <v/>
      </c>
    </row>
    <row r="15">
      <c r="A15" s="15" t="n">
        <v>14</v>
      </c>
      <c r="B15" s="16" t="inlineStr">
        <is>
          <t>14 ASCII</t>
        </is>
      </c>
      <c r="C15" s="16" t="inlineStr">
        <is>
          <t>不使用</t>
        </is>
      </c>
      <c r="D15" s="16" t="inlineStr">
        <is>
          <t>ASCIIは技術系の印象が強く、この題材では使わない</t>
        </is>
      </c>
      <c r="E15" s="15">
        <f>COUNTIF('シーン割り'!$G$2:$J$36,B15)</f>
        <v/>
      </c>
      <c r="F15" s="15">
        <f>COUNTIF('シーン割り'!$G$2:$G$36,B15)</f>
        <v/>
      </c>
      <c r="G15" s="15">
        <f>COUNTIF('シーン割り'!$H$2:$H$36,B15)</f>
        <v/>
      </c>
      <c r="H15" s="15">
        <f>COUNTIF('シーン割り'!$I$2:$I$36,B15)</f>
        <v/>
      </c>
      <c r="I15" s="15">
        <f>COUNTIF('シーン割り'!$J$2:$J$36,B15)</f>
        <v/>
      </c>
    </row>
    <row r="16">
      <c r="A16" s="2" t="n">
        <v>15</v>
      </c>
      <c r="B16" s="3" t="inlineStr">
        <is>
          <t>15 雨・天候</t>
        </is>
      </c>
      <c r="C16" s="3" t="inlineStr">
        <is>
          <t>背景</t>
        </is>
      </c>
      <c r="D16" s="3" t="inlineStr">
        <is>
          <t>結論の雨の夜（シェルターを際立たせる）</t>
        </is>
      </c>
      <c r="E16" s="2">
        <f>COUNTIF('シーン割り'!$G$2:$J$36,B16)</f>
        <v/>
      </c>
      <c r="F16" s="2">
        <f>COUNTIF('シーン割り'!$G$2:$G$36,B16)</f>
        <v/>
      </c>
      <c r="G16" s="2">
        <f>COUNTIF('シーン割り'!$H$2:$H$36,B16)</f>
        <v/>
      </c>
      <c r="H16" s="2">
        <f>COUNTIF('シーン割り'!$I$2:$I$36,B16)</f>
        <v/>
      </c>
      <c r="I16" s="2">
        <f>COUNTIF('シーン割り'!$J$2:$J$36,B16)</f>
        <v/>
      </c>
    </row>
    <row r="17">
      <c r="D17" s="17" t="inlineStr">
        <is>
          <t>合計</t>
        </is>
      </c>
      <c r="E17" s="18">
        <f>SUM(E2:E16)</f>
        <v/>
      </c>
      <c r="F17" s="18">
        <f>SUM(F2:F16)</f>
        <v/>
      </c>
      <c r="G17" s="18">
        <f>SUM(G2:G16)</f>
        <v/>
      </c>
      <c r="H17" s="18">
        <f>SUM(H2:H16)</f>
        <v/>
      </c>
      <c r="I17" s="18">
        <f>SUM(I2:I16)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5" customWidth="1" min="1" max="1"/>
    <col width="40" customWidth="1" min="2" max="2"/>
    <col width="56" customWidth="1" min="3" max="3"/>
    <col width="10" customWidth="1" min="4" max="4"/>
    <col width="50" customWidth="1" min="5" max="5"/>
  </cols>
  <sheetData>
    <row r="1">
      <c r="A1" s="1" t="inlineStr">
        <is>
          <t>No</t>
        </is>
      </c>
      <c r="B1" s="1" t="inlineStr">
        <is>
          <t>台本の記述</t>
        </is>
      </c>
      <c r="C1" s="1" t="inlineStr">
        <is>
          <t>確認できていること</t>
        </is>
      </c>
      <c r="D1" s="1" t="inlineStr">
        <is>
          <t>判定</t>
        </is>
      </c>
      <c r="E1" s="1" t="inlineStr">
        <is>
          <t>対応案</t>
        </is>
      </c>
    </row>
    <row r="2">
      <c r="A2" s="2" t="n">
        <v>1</v>
      </c>
      <c r="B2" s="3" t="inlineStr">
        <is>
          <t>2026年9月、「ステーションポッド」での不適切行為動画の拡散と警察の捜査</t>
        </is>
      </c>
      <c r="C2" s="3" t="inlineStr">
        <is>
          <t>報道を確認できていない（Claude の知識は2026年6月まで）。「ステーションポッド」が実在の商品名かどうかも未確認。</t>
        </is>
      </c>
      <c r="D2" s="19" t="inlineStr">
        <is>
          <t>要確認</t>
        </is>
      </c>
      <c r="E2" s="3" t="inlineStr">
        <is>
          <t>報道元を確認して概要欄に出典を載せる。商品名が実在する場合は、特定の事業者を責める表現にならないか確認する。</t>
        </is>
      </c>
    </row>
    <row r="3">
      <c r="A3" s="2" t="n">
        <v>2</v>
      </c>
      <c r="B3" s="3" t="inlineStr">
        <is>
          <t>コーネル大学 ゲイリー・エバンス、2000年、都市住民300人、狭い部屋ほど警戒反応が約40%低下</t>
        </is>
      </c>
      <c r="C3" s="3" t="inlineStr">
        <is>
          <t>エバンスはコーネル大学の実在の環境心理学者で、過密やストレスの研究で知られる。ただし、この条件・人数・数値の研究は確認できていない。</t>
        </is>
      </c>
      <c r="D3" s="19" t="inlineStr">
        <is>
          <t>要確認</t>
        </is>
      </c>
      <c r="E3" s="3" t="inlineStr">
        <is>
          <t>論文名・掲載誌を特定する。見つからなければ研究の紹介と「−40%」のグラフを削るか、確認できた研究に差し替える。</t>
        </is>
      </c>
    </row>
    <row r="4">
      <c r="A4" s="2" t="n">
        <v>3</v>
      </c>
      <c r="B4" s="3" t="inlineStr">
        <is>
          <t>エドワード・ソジャ、1996年、ロサンゼルスの街区を半年間観測、ブース内の逸脱が約3倍</t>
        </is>
      </c>
      <c r="C4" s="3" t="inlineStr">
        <is>
          <t>ソジャはロサンゼルスを研究した実在の都市地理学者で、1996年に著書『Thirdspace』がある。ただし理論研究が中心で、こうした観測調査は確認できていない。「社会学者」という肩書きも一般的な紹介とは異なる。</t>
        </is>
      </c>
      <c r="D4" s="19" t="inlineStr">
        <is>
          <t>要確認</t>
        </is>
      </c>
      <c r="E4" s="3" t="inlineStr">
        <is>
          <t>出典を特定する。見つからなければ「約3倍」のグラフを削り、都市の私有化に関する理論の紹介に言い換える。</t>
        </is>
      </c>
    </row>
    <row r="5">
      <c r="A5" s="2" t="n">
        <v>4</v>
      </c>
      <c r="B5" s="3" t="inlineStr">
        <is>
          <t>シェリー・タークル、2011年、ビジネスパーソン200人を追跡、約70%が衝動的行動を望んだ</t>
        </is>
      </c>
      <c r="C5" s="3" t="inlineStr">
        <is>
          <t>タークルはMITの実在の研究者で、2011年に著書『Alone Together』がある。ただしこの本は主にインタビューに基づいており、この人数・数値の調査は確認できていない。</t>
        </is>
      </c>
      <c r="D5" s="19" t="inlineStr">
        <is>
          <t>要確認</t>
        </is>
      </c>
      <c r="E5" s="3" t="inlineStr">
        <is>
          <t>出典を特定する。見つからなければ「70%」のグラフを削り、著書の主張の紹介に言い換える。</t>
        </is>
      </c>
    </row>
    <row r="7" ht="32" customHeight="1">
      <c r="B7" s="20" t="inlineStr">
        <is>
          <t>数値をグラフや大きな文字で見せると、視聴者には確かな事実として伝わります。出典が確認できるまで、該当シーン（No.8・10・18・20・27・29）の図解は仮のままにしてください。</t>
        </is>
      </c>
    </row>
  </sheetData>
  <mergeCells count="1">
    <mergeCell ref="B7:E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4" customWidth="1" min="2" max="2"/>
  </cols>
  <sheetData>
    <row r="1">
      <c r="A1" s="21" t="inlineStr">
        <is>
          <t>設定</t>
        </is>
      </c>
    </row>
    <row r="3">
      <c r="A3" s="22" t="inlineStr">
        <is>
          <t>読み上げ速度（文字/秒）</t>
        </is>
      </c>
      <c r="B3" s="23" t="n">
        <v>5.5</v>
      </c>
    </row>
    <row r="4">
      <c r="A4" s="22" t="inlineStr">
        <is>
          <t>合計の目安（分:秒）</t>
        </is>
      </c>
      <c r="B4" s="22">
        <f>TEXT(SUM('シーン割り'!E2:E36)/86400,"m:ss")</f>
        <v/>
      </c>
    </row>
    <row r="5">
      <c r="A5" s="22" t="n"/>
      <c r="B5" s="22" t="n"/>
    </row>
    <row r="6">
      <c r="A6" s="17" t="inlineStr">
        <is>
          <t>使い方</t>
        </is>
      </c>
      <c r="B6" s="22" t="n"/>
    </row>
    <row r="7">
      <c r="A7" s="22" t="inlineStr">
        <is>
          <t>・黄色いセル（B3）だけを書き換えてください。秒数・開始時刻・使用回数は計算式で自動更新されます。</t>
        </is>
      </c>
      <c r="B7" s="22" t="n"/>
    </row>
    <row r="8">
      <c r="A8" s="22" t="inlineStr">
        <is>
          <t>・「シーン割り」の背景・主役・文字・仕上げの列は、ドロップダウンで「スタイル一覧」のスタイルに変更できます。</t>
        </is>
      </c>
      <c r="B8" s="22" t="n"/>
    </row>
    <row r="9">
      <c r="A9" s="22" t="inlineStr">
        <is>
          <t>・スタイル番号は、前回の見本ページ（アニメーション見本帳）の番号と同じです。</t>
        </is>
      </c>
      <c r="B9" s="22" t="n"/>
    </row>
    <row r="10">
      <c r="A10" s="22" t="inlineStr">
        <is>
          <t>・「要確認」シートの項目は、図解やグラフを作る前に出典を確認してください。</t>
        </is>
      </c>
      <c r="B10" s="22"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2026-09-27T15:56:36Z</dcterms:created>
  <dcterms:modified xsi:type="dcterms:W3CDTF">2026-09-27T15:56:36Z</dcterms:modified>
</cp:coreProperties>
</file>