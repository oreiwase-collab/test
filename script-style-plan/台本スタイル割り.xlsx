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シーン割り" sheetId="1" state="visible" r:id="rId1"/>
    <sheet name="スタイル一覧" sheetId="2" state="visible" r:id="rId2"/>
    <sheet name="要確認" sheetId="3" state="visible" r:id="rId3"/>
    <sheet name="設定" sheetId="4" state="visible" r:id="rId4"/>
  </sheets>
  <definedNames>
    <definedName name="_xlnm._FilterDatabase" localSheetId="0" hidden="1">'シーン割り'!$A$1:$L$36</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Meiryo"/>
      <b val="1"/>
      <sz val="13"/>
    </font>
    <font>
      <name val="Meiryo"/>
      <b val="1"/>
      <color rgb="000000FF"/>
    </font>
    <font>
      <name val="Meiryo"/>
      <b val="1"/>
    </font>
    <font>
      <name val="Meiryo"/>
      <color theme="1"/>
      <sz val="10"/>
    </font>
    <font>
      <name val="Meiryo"/>
      <b val="1"/>
      <sz val="10"/>
    </font>
    <font>
      <name val="Meiryo"/>
      <b val="1"/>
      <color rgb="00FFFFFF"/>
      <sz val="10"/>
    </font>
    <font>
      <name val="Meiryo"/>
      <sz val="10"/>
    </font>
    <font>
      <name val="Meiryo"/>
      <color rgb="00B42318"/>
      <sz val="10"/>
    </font>
    <font>
      <name val="Meiryo"/>
      <color rgb="008D93A4"/>
      <sz val="10"/>
    </font>
    <font>
      <name val="Meiryo"/>
      <b val="1"/>
      <color rgb="00B42318"/>
      <sz val="10"/>
    </font>
  </fonts>
  <fills count="8">
    <fill>
      <patternFill/>
    </fill>
    <fill>
      <patternFill patternType="gray125"/>
    </fill>
    <fill>
      <patternFill patternType="solid">
        <fgColor rgb="00FFFF00"/>
      </patternFill>
    </fill>
    <fill>
      <patternFill patternType="solid">
        <fgColor rgb="001F2433"/>
      </patternFill>
    </fill>
    <fill>
      <patternFill patternType="solid">
        <fgColor rgb="00E8EEF8"/>
      </patternFill>
    </fill>
    <fill>
      <patternFill patternType="solid">
        <fgColor rgb="00FDF1E3"/>
      </patternFill>
    </fill>
    <fill>
      <patternFill patternType="solid">
        <fgColor rgb="00F3E8F5"/>
      </patternFill>
    </fill>
    <fill>
      <patternFill patternType="solid">
        <fgColor rgb="00E6F4F1"/>
      </patternFill>
    </fill>
  </fills>
  <borders count="3">
    <border>
      <left/>
      <right/>
      <top/>
      <bottom/>
      <diagonal/>
    </border>
    <border>
      <left style="thin">
        <color rgb="00D5D8E0"/>
      </left>
      <right style="thin">
        <color rgb="00D5D8E0"/>
      </right>
      <top style="thin">
        <color rgb="00D5D8E0"/>
      </top>
      <bottom style="thin">
        <color rgb="00D5D8E0"/>
      </bottom>
    </border>
    <border>
      <left style="thin">
        <color rgb="00D5D8E0"/>
      </left>
      <right style="thin">
        <color rgb="00D5D8E0"/>
      </right>
      <top style="medium">
        <color rgb="001F2433"/>
      </top>
      <bottom style="thin">
        <color rgb="00D5D8E0"/>
      </bottom>
    </border>
  </borders>
  <cellStyleXfs count="1">
    <xf numFmtId="0" fontId="0" fillId="0" borderId="0"/>
  </cellStyleXfs>
  <cellXfs count="24">
    <xf numFmtId="0" fontId="0" fillId="0" borderId="0" pivotButton="0" quotePrefix="0" xfId="0"/>
    <xf numFmtId="0" fontId="6" fillId="3"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8" fillId="0" borderId="1" applyAlignment="1" pivotButton="0" quotePrefix="0" xfId="0">
      <alignment vertical="top" wrapText="1"/>
    </xf>
    <xf numFmtId="0" fontId="7" fillId="0" borderId="2" applyAlignment="1" pivotButton="0" quotePrefix="0" xfId="0">
      <alignment horizontal="center" vertical="top" wrapText="1"/>
    </xf>
    <xf numFmtId="0" fontId="7" fillId="0" borderId="2" applyAlignment="1" pivotButton="0" quotePrefix="0" xfId="0">
      <alignment vertical="top" wrapText="1"/>
    </xf>
    <xf numFmtId="0" fontId="7" fillId="4" borderId="2" applyAlignment="1" pivotButton="0" quotePrefix="0" xfId="0">
      <alignment vertical="top" wrapText="1"/>
    </xf>
    <xf numFmtId="0" fontId="7" fillId="5" borderId="2" applyAlignment="1" pivotButton="0" quotePrefix="0" xfId="0">
      <alignment vertical="top" wrapText="1"/>
    </xf>
    <xf numFmtId="0" fontId="7" fillId="6" borderId="2" applyAlignment="1" pivotButton="0" quotePrefix="0" xfId="0">
      <alignment vertical="top" wrapText="1"/>
    </xf>
    <xf numFmtId="0" fontId="7" fillId="7" borderId="2" applyAlignment="1" pivotButton="0" quotePrefix="0" xfId="0">
      <alignment vertical="top" wrapText="1"/>
    </xf>
    <xf numFmtId="0" fontId="9" fillId="0" borderId="1" applyAlignment="1" pivotButton="0" quotePrefix="0" xfId="0">
      <alignment horizontal="center" vertical="top" wrapText="1"/>
    </xf>
    <xf numFmtId="0" fontId="9" fillId="0" borderId="1" applyAlignment="1" pivotButton="0" quotePrefix="0" xfId="0">
      <alignment vertical="top" wrapText="1"/>
    </xf>
    <xf numFmtId="0" fontId="5" fillId="0" borderId="0" pivotButton="0" quotePrefix="0" xfId="0"/>
    <xf numFmtId="0" fontId="5" fillId="0" borderId="1" applyAlignment="1" pivotButton="0" quotePrefix="0" xfId="0">
      <alignment horizontal="center" vertical="top" wrapText="1"/>
    </xf>
    <xf numFmtId="0" fontId="10" fillId="0" borderId="1" applyAlignment="1" pivotButton="0" quotePrefix="0" xfId="0">
      <alignment horizontal="center" vertical="top" wrapText="1"/>
    </xf>
    <xf numFmtId="0" fontId="8" fillId="0" borderId="0" applyAlignment="1" pivotButton="0" quotePrefix="0" xfId="0">
      <alignment vertical="top" wrapText="1"/>
    </xf>
    <xf numFmtId="0" fontId="1" fillId="0" borderId="0" pivotButton="0" quotePrefix="0" xfId="0"/>
    <xf numFmtId="0" fontId="4"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Claude</author>
  </authors>
  <commentList>
    <comment ref="B3" authorId="0" shapeId="0">
      <text>
        <t>仮の値です（日本語ナレーションで一般的な毎分約330字）。実際の収録音声の長さに合わせて変えると、シーン割りの秒数が自動で変わります。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L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7" customWidth="1" min="4" max="4"/>
    <col width="9" customWidth="1" min="5" max="5"/>
    <col width="8" customWidth="1" min="6" max="6"/>
    <col width="16" customWidth="1" min="7" max="7"/>
    <col width="16" customWidth="1" min="8" max="8"/>
    <col width="16" customWidth="1" min="9" max="9"/>
    <col width="16" customWidth="1" min="10" max="10"/>
    <col width="48" customWidth="1" min="11" max="11"/>
    <col width="36" customWidth="1" min="12" max="12"/>
  </cols>
  <sheetData>
    <row r="1">
      <c r="A1" s="1" t="inlineStr">
        <is>
          <t>No</t>
        </is>
      </c>
      <c r="B1" s="1" t="inlineStr">
        <is>
          <t>パート</t>
        </is>
      </c>
      <c r="C1" s="1" t="inlineStr">
        <is>
          <t>台本</t>
        </is>
      </c>
      <c r="D1" s="1" t="inlineStr">
        <is>
          <t>文字数</t>
        </is>
      </c>
      <c r="E1" s="1" t="inlineStr">
        <is>
          <t>秒数（目安）</t>
        </is>
      </c>
      <c r="F1" s="1" t="inlineStr">
        <is>
          <t>開始</t>
        </is>
      </c>
      <c r="G1" s="1" t="inlineStr">
        <is>
          <t>背景</t>
        </is>
      </c>
      <c r="H1" s="1" t="inlineStr">
        <is>
          <t>主役</t>
        </is>
      </c>
      <c r="I1" s="1" t="inlineStr">
        <is>
          <t>文字</t>
        </is>
      </c>
      <c r="J1" s="1" t="inlineStr">
        <is>
          <t>仕上げ</t>
        </is>
      </c>
      <c r="K1" s="1" t="inlineStr">
        <is>
          <t>画面の具体案</t>
        </is>
      </c>
      <c r="L1" s="1" t="inlineStr">
        <is>
          <t>注意</t>
        </is>
      </c>
    </row>
    <row r="2">
      <c r="A2" s="2" t="n">
        <v>1</v>
      </c>
      <c r="B2" s="3" t="inlineStr">
        <is>
          <t>導入</t>
        </is>
      </c>
      <c r="C2" s="3" t="inlineStr">
        <is>
          <t>たくさんの人が行き交う駅のど真ん中で、服を脱ぐなんて絶対にあり得ないと思いますよね。</t>
        </is>
      </c>
      <c r="D2" s="2">
        <f>LEN(C2)</f>
        <v/>
      </c>
      <c r="E2" s="2">
        <f>ROUND(D2/設定!$B$3,1)</f>
        <v/>
      </c>
      <c r="F2" s="2">
        <f>TEXT(0,"m:ss")</f>
        <v/>
      </c>
      <c r="G2" s="4" t="inlineStr">
        <is>
          <t>03 パーティクル</t>
        </is>
      </c>
      <c r="H2" s="5" t="inlineStr">
        <is>
          <t>09 棒人間</t>
        </is>
      </c>
      <c r="I2" s="6" t="inlineStr">
        <is>
          <t>12 キネティック文字</t>
        </is>
      </c>
      <c r="J2" s="7" t="n"/>
      <c r="K2" s="3" t="inlineStr">
        <is>
          <t>真上から見た駅コンコース。無数の点（人）が流れる中、中央の1人だけが立ち止まる。「絶対にあり得ない」の文字が浮かぶ。</t>
        </is>
      </c>
      <c r="L2" s="8" t="inlineStr">
        <is>
          <t>服を脱ぐ場面は描かない。人物は棒人間のまま、言葉だけで伝える。</t>
        </is>
      </c>
    </row>
    <row r="3">
      <c r="A3" s="2" t="n">
        <v>2</v>
      </c>
      <c r="B3" s="3" t="inlineStr">
        <is>
          <t>導入</t>
        </is>
      </c>
      <c r="C3" s="3" t="inlineStr">
        <is>
          <t>でも、たった畳1枚分の小さな箱に入るだけで、人間の脳は信じられない勘違いを起こしてしまいます。</t>
        </is>
      </c>
      <c r="D3" s="2">
        <f>LEN(C3)</f>
        <v/>
      </c>
      <c r="E3" s="2">
        <f>ROUND(D3/設定!$B$3,1)</f>
        <v/>
      </c>
      <c r="F3" s="2">
        <f>TEXT(SUM(E$1:E2)/86400,"m:ss")</f>
        <v/>
      </c>
      <c r="G3" s="4" t="inlineStr">
        <is>
          <t>03 パーティクル</t>
        </is>
      </c>
      <c r="H3" s="5" t="inlineStr">
        <is>
          <t>05 3Dオブジェクト</t>
        </is>
      </c>
      <c r="I3" s="6" t="inlineStr">
        <is>
          <t>11 ネオン・グリッチ</t>
        </is>
      </c>
      <c r="J3" s="7" t="n"/>
      <c r="K3" s="3" t="inlineStr">
        <is>
          <t>点の流れの中央に黒いキューブが出現（「畳1枚分」の寸法線を添える）。人物が入った瞬間、画面が一瞬グリッチして「勘違い」と表示。</t>
        </is>
      </c>
      <c r="L3" s="3" t="n"/>
    </row>
    <row r="4">
      <c r="A4" s="2" t="n">
        <v>3</v>
      </c>
      <c r="B4" s="3" t="inlineStr">
        <is>
          <t>導入</t>
        </is>
      </c>
      <c r="C4" s="3" t="inlineStr">
        <is>
          <t>2026年9月、都内の大きな駅に置かれたテレワーク用の防音個室「ステーションポッド」の中で、服を脱いで外に見せびらかすような動画がネットに広まり、警察が動く大きな騒ぎになりました。</t>
        </is>
      </c>
      <c r="D4" s="2">
        <f>LEN(C4)</f>
        <v/>
      </c>
      <c r="E4" s="2">
        <f>ROUND(D4/設定!$B$3,1)</f>
        <v/>
      </c>
      <c r="F4" s="2">
        <f>TEXT(SUM(E$1:E3)/86400,"m:ss")</f>
        <v/>
      </c>
      <c r="G4" s="4" t="inlineStr">
        <is>
          <t>04 シェーダー</t>
        </is>
      </c>
      <c r="H4" s="5" t="inlineStr">
        <is>
          <t>01 CSS UI</t>
        </is>
      </c>
      <c r="I4" s="6" t="inlineStr">
        <is>
          <t>12 キネティック文字</t>
        </is>
      </c>
      <c r="J4" s="7" t="n"/>
      <c r="K4" s="3" t="inlineStr">
        <is>
          <t>暗く抑えたシェーダー背景の上に、ニュース見出し風カードと架空のSNS通知UIが積み重なる。「2026年9月」「警察が動く」を強調。</t>
        </is>
      </c>
      <c r="L4" s="8" t="inlineStr">
        <is>
          <t>行為そのものは描かない（ブースの外観と通知UIだけで伝える）。実在のSNS・駅・商品のロゴは使わない。事件の実在性は「要確認」シート参照。</t>
        </is>
      </c>
    </row>
    <row r="5">
      <c r="A5" s="2" t="n">
        <v>4</v>
      </c>
      <c r="B5" s="3" t="inlineStr">
        <is>
          <t>導入</t>
        </is>
      </c>
      <c r="C5" s="3" t="inlineStr">
        <is>
          <t>おかしな人が自分勝手に暴れただけ、と片付けるのは簡単です。</t>
        </is>
      </c>
      <c r="D5" s="2">
        <f>LEN(C5)</f>
        <v/>
      </c>
      <c r="E5" s="2">
        <f>ROUND(D5/設定!$B$3,1)</f>
        <v/>
      </c>
      <c r="F5" s="2">
        <f>TEXT(SUM(E$1:E4)/86400,"m:ss")</f>
        <v/>
      </c>
      <c r="G5" s="4" t="n"/>
      <c r="H5" s="5" t="inlineStr">
        <is>
          <t>09 棒人間</t>
        </is>
      </c>
      <c r="I5" s="6" t="inlineStr">
        <is>
          <t>02 SVG線画・変形</t>
        </is>
      </c>
      <c r="J5" s="7" t="n"/>
      <c r="K5" s="3" t="inlineStr">
        <is>
          <t>群衆が1人の人物を指さす。「おかしな人」の文字にSVGの取り消し線が引かれる。</t>
        </is>
      </c>
      <c r="L5" s="3" t="n"/>
    </row>
    <row r="6">
      <c r="A6" s="2" t="n">
        <v>5</v>
      </c>
      <c r="B6" s="3" t="inlineStr">
        <is>
          <t>導入</t>
        </is>
      </c>
      <c r="C6" s="3" t="inlineStr">
        <is>
          <t>だが、このとんでもない行動を引き起こしたのは、狭い箱に入ったときに誰もが持っている心のスイッチが入ってしまったからでした。</t>
        </is>
      </c>
      <c r="D6" s="2">
        <f>LEN(C6)</f>
        <v/>
      </c>
      <c r="E6" s="2">
        <f>ROUND(D6/設定!$B$3,1)</f>
        <v/>
      </c>
      <c r="F6" s="2">
        <f>TEXT(SUM(E$1:E5)/86400,"m:ss")</f>
        <v/>
      </c>
      <c r="G6" s="4" t="inlineStr">
        <is>
          <t>06 ジェネラティブ</t>
        </is>
      </c>
      <c r="H6" s="5" t="inlineStr">
        <is>
          <t>08 図解（Manim風）</t>
        </is>
      </c>
      <c r="I6" s="6" t="inlineStr">
        <is>
          <t>12 キネティック文字</t>
        </is>
      </c>
      <c r="J6" s="7" t="n"/>
      <c r="K6" s="3" t="inlineStr">
        <is>
          <t>脳の線画の中をジェネラティブなノイズが流れ、中央のスイッチがカチッと入る。「心のスイッチ」を強調。</t>
        </is>
      </c>
      <c r="L6" s="8" t="inlineStr">
        <is>
          <t>台本の表記：この文だけ「だが」で、ほかの「です・ます」調と合わない。「ですが」に変えると自然。</t>
        </is>
      </c>
    </row>
    <row r="7">
      <c r="A7" s="2" t="n">
        <v>6</v>
      </c>
      <c r="B7" s="3" t="inlineStr">
        <is>
          <t>導入</t>
        </is>
      </c>
      <c r="C7" s="3" t="inlineStr">
        <is>
          <t>いったい私たちの頭と、普段暮らしている街の中で何が起きていたのか、一緒に解き明かしていきましょう。</t>
        </is>
      </c>
      <c r="D7" s="2">
        <f>LEN(C7)</f>
        <v/>
      </c>
      <c r="E7" s="2">
        <f>ROUND(D7/設定!$B$3,1)</f>
        <v/>
      </c>
      <c r="F7" s="2">
        <f>TEXT(SUM(E$1:E6)/86400,"m:ss")</f>
        <v/>
      </c>
      <c r="G7" s="4" t="inlineStr">
        <is>
          <t>04 シェーダー</t>
        </is>
      </c>
      <c r="H7" s="5" t="n"/>
      <c r="I7" s="6" t="inlineStr">
        <is>
          <t>02 SVG線画・変形</t>
        </is>
      </c>
      <c r="J7" s="7" t="inlineStr">
        <is>
          <t>01 CSS UI</t>
        </is>
      </c>
      <c r="K7" s="3" t="inlineStr">
        <is>
          <t>タイトルカード。「頭の中 × 街の仕組み」が一筆書きで描かれ、光が走る。</t>
        </is>
      </c>
      <c r="L7" s="3" t="n"/>
    </row>
    <row r="8">
      <c r="A8" s="9" t="n">
        <v>7</v>
      </c>
      <c r="B8" s="10" t="inlineStr">
        <is>
          <t>① 狭い箱の油断</t>
        </is>
      </c>
      <c r="C8" s="10" t="inlineStr">
        <is>
          <t>なぜ人は、すぐ外を大勢の人が歩いているのに、ガラス張りの箱の中で油断してしまうのでしょうか。</t>
        </is>
      </c>
      <c r="D8" s="9">
        <f>LEN(C8)</f>
        <v/>
      </c>
      <c r="E8" s="9">
        <f>ROUND(D8/設定!$B$3,1)</f>
        <v/>
      </c>
      <c r="F8" s="9">
        <f>TEXT(SUM(E$1:E7)/86400,"m:ss")</f>
        <v/>
      </c>
      <c r="G8" s="11" t="n"/>
      <c r="H8" s="12" t="inlineStr">
        <is>
          <t>05 3Dオブジェクト</t>
        </is>
      </c>
      <c r="I8" s="13" t="inlineStr">
        <is>
          <t>12 キネティック文字</t>
        </is>
      </c>
      <c r="J8" s="14" t="inlineStr">
        <is>
          <t>09 棒人間</t>
        </is>
      </c>
      <c r="K8" s="10" t="inlineStr">
        <is>
          <t>ガラス張りの3Dブースを斜め上から回り込む。外を棒人間が歩き、中の人物はくつろぐ。問いの文字が出る。</t>
        </is>
      </c>
      <c r="L8" s="10" t="n"/>
    </row>
    <row r="9">
      <c r="A9" s="2" t="n">
        <v>8</v>
      </c>
      <c r="B9" s="3" t="inlineStr">
        <is>
          <t>① 狭い箱の油断</t>
        </is>
      </c>
      <c r="C9" s="3" t="inlineStr">
        <is>
          <t>アメリカのコーネル大学のゲイリーエバンスという研究者が、2000年に300人の街の人を集めて実験を行いました。</t>
        </is>
      </c>
      <c r="D9" s="2">
        <f>LEN(C9)</f>
        <v/>
      </c>
      <c r="E9" s="2">
        <f>ROUND(D9/設定!$B$3,1)</f>
        <v/>
      </c>
      <c r="F9" s="2">
        <f>TEXT(SUM(E$1:E8)/86400,"m:ss")</f>
        <v/>
      </c>
      <c r="G9" s="4" t="n"/>
      <c r="H9" s="5" t="inlineStr">
        <is>
          <t>01 CSS UI</t>
        </is>
      </c>
      <c r="I9" s="6" t="inlineStr">
        <is>
          <t>12 キネティック文字</t>
        </is>
      </c>
      <c r="J9" s="7" t="n"/>
      <c r="K9" s="3" t="inlineStr">
        <is>
          <t>研究カード（大学・研究者名・年・人数）がスライドイン。「300人」をカウントアップ。</t>
        </is>
      </c>
      <c r="L9" s="8" t="inlineStr">
        <is>
          <t>研究内容が確認できていない。「要確認」シート参照。</t>
        </is>
      </c>
    </row>
    <row r="10">
      <c r="A10" s="2" t="n">
        <v>9</v>
      </c>
      <c r="B10" s="3" t="inlineStr">
        <is>
          <t>① 狭い箱の油断</t>
        </is>
      </c>
      <c r="C10" s="3" t="inlineStr">
        <is>
          <t>広さが違う部屋に人を入れ、窓の外を他人が通り過ぎる様子を見せながら、ドキドキする度合いやストレスを測りつつ難しいパズルを解かせたのです。</t>
        </is>
      </c>
      <c r="D10" s="2">
        <f>LEN(C10)</f>
        <v/>
      </c>
      <c r="E10" s="2">
        <f>ROUND(D10/設定!$B$3,1)</f>
        <v/>
      </c>
      <c r="F10" s="2">
        <f>TEXT(SUM(E$1:E9)/86400,"m:ss")</f>
        <v/>
      </c>
      <c r="G10" s="4" t="n"/>
      <c r="H10" s="5" t="inlineStr">
        <is>
          <t>08 図解（Manim風）</t>
        </is>
      </c>
      <c r="I10" s="6" t="n"/>
      <c r="J10" s="7" t="inlineStr">
        <is>
          <t>09 棒人間</t>
        </is>
      </c>
      <c r="K10" s="3" t="inlineStr">
        <is>
          <t>大・中・小の部屋を並べた図解。各部屋で棒人間がパズルに取り組み、横に心拍の波形が流れる。</t>
        </is>
      </c>
      <c r="L10" s="3" t="n"/>
    </row>
    <row r="11">
      <c r="A11" s="2" t="n">
        <v>10</v>
      </c>
      <c r="B11" s="3" t="inlineStr">
        <is>
          <t>① 狭い箱の油断</t>
        </is>
      </c>
      <c r="C11" s="3" t="inlineStr">
        <is>
          <t>すると、部屋が狭くなればなるほど、外から見られていることへの警戒心が約40パーセントも下がりました。</t>
        </is>
      </c>
      <c r="D11" s="2">
        <f>LEN(C11)</f>
        <v/>
      </c>
      <c r="E11" s="2">
        <f>ROUND(D11/設定!$B$3,1)</f>
        <v/>
      </c>
      <c r="F11" s="2">
        <f>TEXT(SUM(E$1:E10)/86400,"m:ss")</f>
        <v/>
      </c>
      <c r="G11" s="4" t="n"/>
      <c r="H11" s="5" t="inlineStr">
        <is>
          <t>07 動くグラフ</t>
        </is>
      </c>
      <c r="I11" s="6" t="inlineStr">
        <is>
          <t>12 キネティック文字</t>
        </is>
      </c>
      <c r="J11" s="7" t="n"/>
      <c r="K11" s="3" t="inlineStr">
        <is>
          <t>部屋の広さ別の警戒心を棒グラフで表示。小部屋の棒が下がり「−40%」が大きく出る。</t>
        </is>
      </c>
      <c r="L11" s="8" t="inlineStr">
        <is>
          <t>数値の出典が確認できていない。グラフにすると確かな事実に見えるので、確認後に作る。</t>
        </is>
      </c>
    </row>
    <row r="12">
      <c r="A12" s="2" t="n">
        <v>11</v>
      </c>
      <c r="B12" s="3" t="inlineStr">
        <is>
          <t>① 狭い箱の油断</t>
        </is>
      </c>
      <c r="C12" s="3" t="inlineStr">
        <is>
          <t>壁が体にぴったり近づく狭い部屋に入ると、人間の脳は守られていると勘違いしてしまうのです。</t>
        </is>
      </c>
      <c r="D12" s="2">
        <f>LEN(C12)</f>
        <v/>
      </c>
      <c r="E12" s="2">
        <f>ROUND(D12/設定!$B$3,1)</f>
        <v/>
      </c>
      <c r="F12" s="2">
        <f>TEXT(SUM(E$1:E11)/86400,"m:ss")</f>
        <v/>
      </c>
      <c r="G12" s="4" t="inlineStr">
        <is>
          <t>04 シェーダー</t>
        </is>
      </c>
      <c r="H12" s="5" t="inlineStr">
        <is>
          <t>02 SVG線画・変形</t>
        </is>
      </c>
      <c r="I12" s="6" t="inlineStr">
        <is>
          <t>11 ネオン・グリッチ</t>
        </is>
      </c>
      <c r="J12" s="7" t="n"/>
      <c r="K12" s="3" t="inlineStr">
        <is>
          <t>暖色のシェーダー。四角い壁の線が丸く変形して人物を包む。「守られている」が表示され、ずれて「勘違い」に変わる。</t>
        </is>
      </c>
      <c r="L12" s="3" t="n"/>
    </row>
    <row r="13">
      <c r="A13" s="9" t="n">
        <v>12</v>
      </c>
      <c r="B13" s="10" t="inlineStr">
        <is>
          <t>① 情景描写</t>
        </is>
      </c>
      <c r="C13" s="10" t="inlineStr">
        <is>
          <t>駅の通路を思い浮かべてみてください。</t>
        </is>
      </c>
      <c r="D13" s="9">
        <f>LEN(C13)</f>
        <v/>
      </c>
      <c r="E13" s="9">
        <f>ROUND(D13/設定!$B$3,1)</f>
        <v/>
      </c>
      <c r="F13" s="9">
        <f>TEXT(SUM(E$1:E12)/86400,"m:ss")</f>
        <v/>
      </c>
      <c r="G13" s="11" t="inlineStr">
        <is>
          <t>13 パララックス</t>
        </is>
      </c>
      <c r="H13" s="12" t="inlineStr">
        <is>
          <t>09 棒人間</t>
        </is>
      </c>
      <c r="I13" s="13" t="n"/>
      <c r="J13" s="14" t="inlineStr">
        <is>
          <t>03 パーティクル</t>
        </is>
      </c>
      <c r="K13" s="10" t="inlineStr">
        <is>
          <t>駅の通路の奥行き（柱・人の層）を多層パララックスで表現。手前ほど速く人が流れる。</t>
        </is>
      </c>
      <c r="L13" s="10" t="n"/>
    </row>
    <row r="14">
      <c r="A14" s="2" t="n">
        <v>13</v>
      </c>
      <c r="B14" s="3" t="inlineStr">
        <is>
          <t>① 情景描写</t>
        </is>
      </c>
      <c r="C14" s="3" t="inlineStr">
        <is>
          <t>大勢の人の足音が響き、人と人が肩をぶつけそうになりながら歩いているすぐ横に、黒くて四角い電話ボックスのような箱がポツンと立っています。</t>
        </is>
      </c>
      <c r="D14" s="2">
        <f>LEN(C14)</f>
        <v/>
      </c>
      <c r="E14" s="2">
        <f>ROUND(D14/設定!$B$3,1)</f>
        <v/>
      </c>
      <c r="F14" s="2">
        <f>TEXT(SUM(E$1:E13)/86400,"m:ss")</f>
        <v/>
      </c>
      <c r="G14" s="4" t="inlineStr">
        <is>
          <t>13 パララックス</t>
        </is>
      </c>
      <c r="H14" s="5" t="inlineStr">
        <is>
          <t>05 3Dオブジェクト</t>
        </is>
      </c>
      <c r="I14" s="6" t="n"/>
      <c r="J14" s="7" t="inlineStr">
        <is>
          <t>03 パーティクル</t>
        </is>
      </c>
      <c r="K14" s="3" t="inlineStr">
        <is>
          <t>カメラが人の流れを抜けると、通路脇に黒いキューブがポツンと立っている。</t>
        </is>
      </c>
      <c r="L14" s="3" t="n"/>
    </row>
    <row r="15">
      <c r="A15" s="2" t="n">
        <v>14</v>
      </c>
      <c r="B15" s="3" t="inlineStr">
        <is>
          <t>① 情景描写</t>
        </is>
      </c>
      <c r="C15" s="3" t="inlineStr">
        <is>
          <t>重いドアをパタンと閉めた瞬間、さっきまでのうるさい音が遠くのうなり声のように消えて、目の前には自分だけの机と椅子だけが残ります。</t>
        </is>
      </c>
      <c r="D15" s="2">
        <f>LEN(C15)</f>
        <v/>
      </c>
      <c r="E15" s="2">
        <f>ROUND(D15/設定!$B$3,1)</f>
        <v/>
      </c>
      <c r="F15" s="2">
        <f>TEXT(SUM(E$1:E14)/86400,"m:ss")</f>
        <v/>
      </c>
      <c r="G15" s="4" t="inlineStr">
        <is>
          <t>13 パララックス</t>
        </is>
      </c>
      <c r="H15" s="5" t="inlineStr">
        <is>
          <t>09 棒人間</t>
        </is>
      </c>
      <c r="I15" s="6" t="n"/>
      <c r="J15" s="7" t="inlineStr">
        <is>
          <t>01 CSS UI</t>
        </is>
      </c>
      <c r="K15" s="3" t="inlineStr">
        <is>
          <t>ドアが閉まると背景の群衆がぼけて暗くなる。画面端の音量メーター（見本01のイコライザー）が小さくなる。</t>
        </is>
      </c>
      <c r="L15" s="3" t="n"/>
    </row>
    <row r="16">
      <c r="A16" s="2" t="n">
        <v>15</v>
      </c>
      <c r="B16" s="3" t="inlineStr">
        <is>
          <t>① 情景描写</t>
        </is>
      </c>
      <c r="C16" s="3" t="inlineStr">
        <is>
          <t>ガラスのすぐ向こう側をスーツ姿の大人が早歩きで通り過ぎているのに、壁に囲まれている安心感のせいで、外の世界がまるでテレビ画面の中の出来事のように遠く感じてしまうのです。</t>
        </is>
      </c>
      <c r="D16" s="2">
        <f>LEN(C16)</f>
        <v/>
      </c>
      <c r="E16" s="2">
        <f>ROUND(D16/設定!$B$3,1)</f>
        <v/>
      </c>
      <c r="F16" s="2">
        <f>TEXT(SUM(E$1:E15)/86400,"m:ss")</f>
        <v/>
      </c>
      <c r="G16" s="4" t="n"/>
      <c r="H16" s="5" t="inlineStr">
        <is>
          <t>09 棒人間</t>
        </is>
      </c>
      <c r="I16" s="6" t="n"/>
      <c r="J16" s="7" t="inlineStr">
        <is>
          <t>11 ネオン・グリッチ</t>
        </is>
      </c>
      <c r="K16" s="3" t="inlineStr">
        <is>
          <t>ブース内の人物の肩越しの視点。ガラスの外の通勤客に走査線と軽いグリッチがかかり、テレビ画面のように見える。</t>
        </is>
      </c>
      <c r="L16" s="3" t="n"/>
    </row>
    <row r="17">
      <c r="A17" s="9" t="n">
        <v>16</v>
      </c>
      <c r="B17" s="10" t="inlineStr">
        <is>
          <t>転換</t>
        </is>
      </c>
      <c r="C17" s="10" t="inlineStr">
        <is>
          <t>ここまでは個人の心の内側の話です。では、社会全体の仕組みからこの景色を眺めると、何が見えてくるでしょうか。</t>
        </is>
      </c>
      <c r="D17" s="9">
        <f>LEN(C17)</f>
        <v/>
      </c>
      <c r="E17" s="9">
        <f>ROUND(D17/設定!$B$3,1)</f>
        <v/>
      </c>
      <c r="F17" s="9">
        <f>TEXT(SUM(E$1:E16)/86400,"m:ss")</f>
        <v/>
      </c>
      <c r="G17" s="11" t="n"/>
      <c r="H17" s="12" t="inlineStr">
        <is>
          <t>05 3Dオブジェクト</t>
        </is>
      </c>
      <c r="I17" s="13" t="inlineStr">
        <is>
          <t>12 キネティック文字</t>
        </is>
      </c>
      <c r="J17" s="14" t="n"/>
      <c r="K17" s="10" t="inlineStr">
        <is>
          <t>キューブからカメラが引いていき、駅全体、さらに街全体へ。「心の中 → 街の仕組み」の文字。</t>
        </is>
      </c>
      <c r="L17" s="10" t="n"/>
    </row>
    <row r="18">
      <c r="A18" s="9" t="n">
        <v>17</v>
      </c>
      <c r="B18" s="10" t="inlineStr">
        <is>
          <t>② 区切られた街</t>
        </is>
      </c>
      <c r="C18" s="10" t="inlineStr">
        <is>
          <t>この問題は、1人の勘違いだけでなく、街の作りそのものが変わってしまったことが原因でもあります。</t>
        </is>
      </c>
      <c r="D18" s="9">
        <f>LEN(C18)</f>
        <v/>
      </c>
      <c r="E18" s="9">
        <f>ROUND(D18/設定!$B$3,1)</f>
        <v/>
      </c>
      <c r="F18" s="9">
        <f>TEXT(SUM(E$1:E17)/86400,"m:ss")</f>
        <v/>
      </c>
      <c r="G18" s="11" t="inlineStr">
        <is>
          <t>13 パララックス</t>
        </is>
      </c>
      <c r="H18" s="12" t="inlineStr">
        <is>
          <t>06 ジェネラティブ</t>
        </is>
      </c>
      <c r="I18" s="13" t="inlineStr">
        <is>
          <t>12 キネティック文字</t>
        </is>
      </c>
      <c r="J18" s="14" t="n"/>
      <c r="K18" s="10" t="inlineStr">
        <is>
          <t>街のシルエットがパララックスで流れ、その上にジェネラティブな歪みが広がる。</t>
        </is>
      </c>
      <c r="L18" s="10" t="n"/>
    </row>
    <row r="19">
      <c r="A19" s="2" t="n">
        <v>18</v>
      </c>
      <c r="B19" s="3" t="inlineStr">
        <is>
          <t>② 区切られた街</t>
        </is>
      </c>
      <c r="C19" s="3" t="inlineStr">
        <is>
          <t>都市について研究していたエドワードソジャという学者が、1996年にロサンゼルスの街で調査を行いました。</t>
        </is>
      </c>
      <c r="D19" s="2">
        <f>LEN(C19)</f>
        <v/>
      </c>
      <c r="E19" s="2">
        <f>ROUND(D19/設定!$B$3,1)</f>
        <v/>
      </c>
      <c r="F19" s="2">
        <f>TEXT(SUM(E$1:E18)/86400,"m:ss")</f>
        <v/>
      </c>
      <c r="G19" s="4" t="n"/>
      <c r="H19" s="5" t="inlineStr">
        <is>
          <t>01 CSS UI</t>
        </is>
      </c>
      <c r="I19" s="6" t="inlineStr">
        <is>
          <t>12 キネティック文字</t>
        </is>
      </c>
      <c r="J19" s="7" t="n"/>
      <c r="K19" s="3" t="inlineStr">
        <is>
          <t>研究カード（研究者名・年・地域）がスライドイン。</t>
        </is>
      </c>
      <c r="L19" s="8" t="inlineStr">
        <is>
          <t>研究内容が確認できていない。「要確認」シート参照。</t>
        </is>
      </c>
    </row>
    <row r="20">
      <c r="A20" s="2" t="n">
        <v>19</v>
      </c>
      <c r="B20" s="3" t="inlineStr">
        <is>
          <t>② 区切られた街</t>
        </is>
      </c>
      <c r="C20" s="3" t="inlineStr">
        <is>
          <t>誰もが自由に使えた広場をフェンスで囲み、お金を払った人だけが入れる小さなブースに区切った場所で、半年間にわたって人々の様子を観察したのです。</t>
        </is>
      </c>
      <c r="D20" s="2">
        <f>LEN(C20)</f>
        <v/>
      </c>
      <c r="E20" s="2">
        <f>ROUND(D20/設定!$B$3,1)</f>
        <v/>
      </c>
      <c r="F20" s="2">
        <f>TEXT(SUM(E$1:E19)/86400,"m:ss")</f>
        <v/>
      </c>
      <c r="G20" s="4" t="n"/>
      <c r="H20" s="5" t="inlineStr">
        <is>
          <t>08 図解（Manim風）</t>
        </is>
      </c>
      <c r="I20" s="6" t="n"/>
      <c r="J20" s="7" t="inlineStr">
        <is>
          <t>02 SVG線画・変形</t>
        </is>
      </c>
      <c r="K20" s="3" t="inlineStr">
        <is>
          <t>広場の俯瞰図にフェンスの線が一筆書きで引かれ、格子状のブースに区切られる。中を棒人間が動く。</t>
        </is>
      </c>
      <c r="L20" s="3" t="n"/>
    </row>
    <row r="21">
      <c r="A21" s="2" t="n">
        <v>20</v>
      </c>
      <c r="B21" s="3" t="inlineStr">
        <is>
          <t>② 区切られた街</t>
        </is>
      </c>
      <c r="C21" s="3" t="inlineStr">
        <is>
          <t>防犯カメラをたくさん増やしたにもかかわらず、ブースの中でルールを破るいたずらや迷惑行為は、もとの広場の約3倍に増えてしまいました。</t>
        </is>
      </c>
      <c r="D21" s="2">
        <f>LEN(C21)</f>
        <v/>
      </c>
      <c r="E21" s="2">
        <f>ROUND(D21/設定!$B$3,1)</f>
        <v/>
      </c>
      <c r="F21" s="2">
        <f>TEXT(SUM(E$1:E20)/86400,"m:ss")</f>
        <v/>
      </c>
      <c r="G21" s="4" t="n"/>
      <c r="H21" s="5" t="inlineStr">
        <is>
          <t>07 動くグラフ</t>
        </is>
      </c>
      <c r="I21" s="6" t="inlineStr">
        <is>
          <t>12 キネティック文字</t>
        </is>
      </c>
      <c r="J21" s="7" t="inlineStr">
        <is>
          <t>01 CSS UI</t>
        </is>
      </c>
      <c r="K21" s="3" t="inlineStr">
        <is>
          <t>防犯カメラのアイコンが次々に増える。横で「もとの広場」と「ブースの中」の棒グラフを比べ「約3倍」を表示。</t>
        </is>
      </c>
      <c r="L21" s="8" t="inlineStr">
        <is>
          <t>数値の出典が確認できていない。確認後にグラフにする。</t>
        </is>
      </c>
    </row>
    <row r="22">
      <c r="A22" s="2" t="n">
        <v>21</v>
      </c>
      <c r="B22" s="3" t="inlineStr">
        <is>
          <t>② 区切られた街</t>
        </is>
      </c>
      <c r="C22" s="3" t="inlineStr">
        <is>
          <t>広場を細かく区切って個室にしてしまうと、お互いに見守り合う自然なブレーキが壊れてしまうのです。</t>
        </is>
      </c>
      <c r="D22" s="2">
        <f>LEN(C22)</f>
        <v/>
      </c>
      <c r="E22" s="2">
        <f>ROUND(D22/設定!$B$3,1)</f>
        <v/>
      </c>
      <c r="F22" s="2">
        <f>TEXT(SUM(E$1:E21)/86400,"m:ss")</f>
        <v/>
      </c>
      <c r="G22" s="4" t="n"/>
      <c r="H22" s="5" t="inlineStr">
        <is>
          <t>08 図解（Manim風）</t>
        </is>
      </c>
      <c r="I22" s="6" t="inlineStr">
        <is>
          <t>12 キネティック文字</t>
        </is>
      </c>
      <c r="J22" s="7" t="inlineStr">
        <is>
          <t>02 SVG線画・変形</t>
        </is>
      </c>
      <c r="K22" s="3" t="inlineStr">
        <is>
          <t>人々のあいだを視線の線が網のように結ぶ。ブースの壁が立つと線が1本ずつ切れて消える。</t>
        </is>
      </c>
      <c r="L22" s="3" t="n"/>
    </row>
    <row r="23">
      <c r="A23" s="2" t="n">
        <v>22</v>
      </c>
      <c r="B23" s="3" t="inlineStr">
        <is>
          <t>② 区切られた街</t>
        </is>
      </c>
      <c r="C23" s="3" t="inlineStr">
        <is>
          <t>昔の駅のベンチや待合室は、みんなで机や椅子を分け合い、お互いの目がある場所でした。</t>
        </is>
      </c>
      <c r="D23" s="2">
        <f>LEN(C23)</f>
        <v/>
      </c>
      <c r="E23" s="2">
        <f>ROUND(D23/設定!$B$3,1)</f>
        <v/>
      </c>
      <c r="F23" s="2">
        <f>TEXT(SUM(E$1:E22)/86400,"m:ss")</f>
        <v/>
      </c>
      <c r="G23" s="4" t="inlineStr">
        <is>
          <t>13 パララックス</t>
        </is>
      </c>
      <c r="H23" s="5" t="inlineStr">
        <is>
          <t>09 棒人間</t>
        </is>
      </c>
      <c r="I23" s="6" t="n"/>
      <c r="J23" s="7" t="inlineStr">
        <is>
          <t>02 SVG線画・変形</t>
        </is>
      </c>
      <c r="K23" s="3" t="inlineStr">
        <is>
          <t>セピア寄りの色調のパララックス。ベンチに座る人々のあいだを視線の線が行き交う。</t>
        </is>
      </c>
      <c r="L23" s="3" t="n"/>
    </row>
    <row r="24">
      <c r="A24" s="2" t="n">
        <v>23</v>
      </c>
      <c r="B24" s="3" t="inlineStr">
        <is>
          <t>② 区切られた街</t>
        </is>
      </c>
      <c r="C24" s="3" t="inlineStr">
        <is>
          <t>ところが、便利さとプライバシーをどんどん進めた結果、街の共有スペースの中に「お金を払ってひとりぼっちになれるカプセル」が置かれるようになりました。</t>
        </is>
      </c>
      <c r="D24" s="2">
        <f>LEN(C24)</f>
        <v/>
      </c>
      <c r="E24" s="2">
        <f>ROUND(D24/設定!$B$3,1)</f>
        <v/>
      </c>
      <c r="F24" s="2">
        <f>TEXT(SUM(E$1:E23)/86400,"m:ss")</f>
        <v/>
      </c>
      <c r="G24" s="4" t="n"/>
      <c r="H24" s="5" t="inlineStr">
        <is>
          <t>05 3Dオブジェクト</t>
        </is>
      </c>
      <c r="I24" s="6" t="inlineStr">
        <is>
          <t>12 キネティック文字</t>
        </is>
      </c>
      <c r="J24" s="7" t="inlineStr">
        <is>
          <t>01 CSS UI</t>
        </is>
      </c>
      <c r="K24" s="3" t="inlineStr">
        <is>
          <t>床から黒いキューブが次々にせり上がる。各キューブに料金タグ（¥）が付く。</t>
        </is>
      </c>
      <c r="L24" s="3" t="n"/>
    </row>
    <row r="25">
      <c r="A25" s="2" t="n">
        <v>24</v>
      </c>
      <c r="B25" s="3" t="inlineStr">
        <is>
          <t>② 区切られた街</t>
        </is>
      </c>
      <c r="C25" s="3" t="inlineStr">
        <is>
          <t>みんなで使う場所のマナーと、自分の部屋のような自由さが狭いカプセルの中でぶつかり合って、大きな隙間が駅のホームに生まれてしまったのです。</t>
        </is>
      </c>
      <c r="D25" s="2">
        <f>LEN(C25)</f>
        <v/>
      </c>
      <c r="E25" s="2">
        <f>ROUND(D25/設定!$B$3,1)</f>
        <v/>
      </c>
      <c r="F25" s="2">
        <f>TEXT(SUM(E$1:E24)/86400,"m:ss")</f>
        <v/>
      </c>
      <c r="G25" s="4" t="inlineStr">
        <is>
          <t>04 シェーダー</t>
        </is>
      </c>
      <c r="H25" s="5" t="inlineStr">
        <is>
          <t>08 図解（Manim風）</t>
        </is>
      </c>
      <c r="I25" s="6" t="inlineStr">
        <is>
          <t>11 ネオン・グリッチ</t>
        </is>
      </c>
      <c r="J25" s="7" t="n"/>
      <c r="K25" s="3" t="inlineStr">
        <is>
          <t>「みんなのマナー」と「自分の部屋の自由」の領域がぶつかる図解。境界線がグリッチして裂け、隙間が開く。</t>
        </is>
      </c>
      <c r="L25" s="3" t="n"/>
    </row>
    <row r="26">
      <c r="A26" s="9" t="n">
        <v>25</v>
      </c>
      <c r="B26" s="10" t="inlineStr">
        <is>
          <t>転換</t>
        </is>
      </c>
      <c r="C26" s="10" t="inlineStr">
        <is>
          <t>便利さを追い求めた仕組みが、皮肉にもみんなのモラルを麻痺させてしまったことは分かりました。では、そもそもなぜ私たちはそんな個室を必要としたのでしょうか。</t>
        </is>
      </c>
      <c r="D26" s="9">
        <f>LEN(C26)</f>
        <v/>
      </c>
      <c r="E26" s="9">
        <f>ROUND(D26/設定!$B$3,1)</f>
        <v/>
      </c>
      <c r="F26" s="9">
        <f>TEXT(SUM(E$1:E25)/86400,"m:ss")</f>
        <v/>
      </c>
      <c r="G26" s="11" t="n"/>
      <c r="H26" s="12" t="n"/>
      <c r="I26" s="13" t="inlineStr">
        <is>
          <t>12 キネティック文字</t>
        </is>
      </c>
      <c r="J26" s="14" t="n"/>
      <c r="K26" s="10" t="inlineStr">
        <is>
          <t>文字だけの転換カット。問いの文字が1語ずつ出る。</t>
        </is>
      </c>
      <c r="L26" s="10" t="n"/>
    </row>
    <row r="27">
      <c r="A27" s="9" t="n">
        <v>26</v>
      </c>
      <c r="B27" s="10" t="inlineStr">
        <is>
          <t>③ 繋がり疲れ</t>
        </is>
      </c>
      <c r="C27" s="10" t="inlineStr">
        <is>
          <t>駅の小部屋で起きた事件は、ただの恥知らずな悪ふざけではなく、24時間スマホで誰かと繋がり続ける疲れから逃げ出そうとしたSOSでもありました。</t>
        </is>
      </c>
      <c r="D27" s="9">
        <f>LEN(C27)</f>
        <v/>
      </c>
      <c r="E27" s="9">
        <f>ROUND(D27/設定!$B$3,1)</f>
        <v/>
      </c>
      <c r="F27" s="9">
        <f>TEXT(SUM(E$1:E26)/86400,"m:ss")</f>
        <v/>
      </c>
      <c r="G27" s="11" t="inlineStr">
        <is>
          <t>03 パーティクル</t>
        </is>
      </c>
      <c r="H27" s="12" t="inlineStr">
        <is>
          <t>09 棒人間</t>
        </is>
      </c>
      <c r="I27" s="13" t="inlineStr">
        <is>
          <t>12 キネティック文字</t>
        </is>
      </c>
      <c r="J27" s="14" t="n"/>
      <c r="K27" s="10" t="inlineStr">
        <is>
          <t>パーティクルの接続線（見本03）が人物に絡みつく。「SOS」の文字が点滅する。</t>
        </is>
      </c>
      <c r="L27" s="10" t="n"/>
    </row>
    <row r="28">
      <c r="A28" s="2" t="n">
        <v>27</v>
      </c>
      <c r="B28" s="3" t="inlineStr">
        <is>
          <t>③ 繋がり疲れ</t>
        </is>
      </c>
      <c r="C28" s="3" t="inlineStr">
        <is>
          <t>学者のシェリータークルが、2011年に働く大人200人を追いかけた調査があります。</t>
        </is>
      </c>
      <c r="D28" s="2">
        <f>LEN(C28)</f>
        <v/>
      </c>
      <c r="E28" s="2">
        <f>ROUND(D28/設定!$B$3,1)</f>
        <v/>
      </c>
      <c r="F28" s="2">
        <f>TEXT(SUM(E$1:E27)/86400,"m:ss")</f>
        <v/>
      </c>
      <c r="G28" s="4" t="n"/>
      <c r="H28" s="5" t="inlineStr">
        <is>
          <t>01 CSS UI</t>
        </is>
      </c>
      <c r="I28" s="6" t="inlineStr">
        <is>
          <t>12 キネティック文字</t>
        </is>
      </c>
      <c r="J28" s="7" t="n"/>
      <c r="K28" s="3" t="inlineStr">
        <is>
          <t>研究カード（研究者名・年・人数）。「200人」をカウントアップ。</t>
        </is>
      </c>
      <c r="L28" s="8" t="inlineStr">
        <is>
          <t>調査内容が確認できていない。「要確認」シート参照。</t>
        </is>
      </c>
    </row>
    <row r="29">
      <c r="A29" s="2" t="n">
        <v>28</v>
      </c>
      <c r="B29" s="3" t="inlineStr">
        <is>
          <t>③ 繋がり疲れ</t>
        </is>
      </c>
      <c r="C29" s="3" t="inlineStr">
        <is>
          <t>仕事の連絡をスマホでずっと受け続けなければいけない人たちを、1日1時間だけ通信を止めた閉まり切った部屋に入れて、どんな気持ちになるかを調べました。</t>
        </is>
      </c>
      <c r="D29" s="2">
        <f>LEN(C29)</f>
        <v/>
      </c>
      <c r="E29" s="2">
        <f>ROUND(D29/設定!$B$3,1)</f>
        <v/>
      </c>
      <c r="F29" s="2">
        <f>TEXT(SUM(E$1:E28)/86400,"m:ss")</f>
        <v/>
      </c>
      <c r="G29" s="4" t="n"/>
      <c r="H29" s="5" t="inlineStr">
        <is>
          <t>09 棒人間</t>
        </is>
      </c>
      <c r="I29" s="6" t="n"/>
      <c r="J29" s="7" t="inlineStr">
        <is>
          <t>01 CSS UI</t>
        </is>
      </c>
      <c r="K29" s="3" t="inlineStr">
        <is>
          <t>スマホの通知バッジが増え続ける人物。部屋に入ると通知が止まり、1時間タイマーが動き出す。</t>
        </is>
      </c>
      <c r="L29" s="3" t="n"/>
    </row>
    <row r="30">
      <c r="A30" s="2" t="n">
        <v>29</v>
      </c>
      <c r="B30" s="3" t="inlineStr">
        <is>
          <t>③ 繋がり疲れ</t>
        </is>
      </c>
      <c r="C30" s="3" t="inlineStr">
        <is>
          <t>すると約70パーセントの人が、社会のルールを守ることよりも、誰にも邪魔されないすっきりした解放感を優先し、普段ならしないような衝動的な行動を強く望みました。</t>
        </is>
      </c>
      <c r="D30" s="2">
        <f>LEN(C30)</f>
        <v/>
      </c>
      <c r="E30" s="2">
        <f>ROUND(D30/設定!$B$3,1)</f>
        <v/>
      </c>
      <c r="F30" s="2">
        <f>TEXT(SUM(E$1:E29)/86400,"m:ss")</f>
        <v/>
      </c>
      <c r="G30" s="4" t="n"/>
      <c r="H30" s="5" t="inlineStr">
        <is>
          <t>07 動くグラフ</t>
        </is>
      </c>
      <c r="I30" s="6" t="inlineStr">
        <is>
          <t>12 キネティック文字</t>
        </is>
      </c>
      <c r="J30" s="7" t="n"/>
      <c r="K30" s="3" t="inlineStr">
        <is>
          <t>円グラフが70%まで伸び、「ルール &lt; 解放感」を天秤の図で添える。</t>
        </is>
      </c>
      <c r="L30" s="8" t="inlineStr">
        <is>
          <t>数値の出典が確認できていない。確認後にグラフにする。</t>
        </is>
      </c>
    </row>
    <row r="31">
      <c r="A31" s="2" t="n">
        <v>30</v>
      </c>
      <c r="B31" s="3" t="inlineStr">
        <is>
          <t>③ 繋がり疲れ</t>
        </is>
      </c>
      <c r="C31" s="3" t="inlineStr">
        <is>
          <t>繋がり続ける息苦しさから逃げ込める隠れ家を見つけたとき、人はマナーのブレーキまで一緒に外してしまうのです。</t>
        </is>
      </c>
      <c r="D31" s="2">
        <f>LEN(C31)</f>
        <v/>
      </c>
      <c r="E31" s="2">
        <f>ROUND(D31/設定!$B$3,1)</f>
        <v/>
      </c>
      <c r="F31" s="2">
        <f>TEXT(SUM(E$1:E30)/86400,"m:ss")</f>
        <v/>
      </c>
      <c r="G31" s="4" t="inlineStr">
        <is>
          <t>03 パーティクル</t>
        </is>
      </c>
      <c r="H31" s="5" t="inlineStr">
        <is>
          <t>09 棒人間</t>
        </is>
      </c>
      <c r="I31" s="6" t="n"/>
      <c r="J31" s="7" t="n"/>
      <c r="K31" s="3" t="inlineStr">
        <is>
          <t>人物に絡んだ接続線が1本ずつ切れていき、同時に「ブレーキ」のアイコンも外れて落ちる。</t>
        </is>
      </c>
      <c r="L31" s="3" t="n"/>
    </row>
    <row r="32">
      <c r="A32" s="9" t="n">
        <v>31</v>
      </c>
      <c r="B32" s="10" t="inlineStr">
        <is>
          <t>結論</t>
        </is>
      </c>
      <c r="C32" s="10" t="inlineStr">
        <is>
          <t>あの駅の箱は、周りの目や連絡の通知に疲れ果てた私たちが、人混みの中でひとりきりになるために作った現代の隠れ家でした。</t>
        </is>
      </c>
      <c r="D32" s="9">
        <f>LEN(C32)</f>
        <v/>
      </c>
      <c r="E32" s="9">
        <f>ROUND(D32/設定!$B$3,1)</f>
        <v/>
      </c>
      <c r="F32" s="9">
        <f>TEXT(SUM(E$1:E31)/86400,"m:ss")</f>
        <v/>
      </c>
      <c r="G32" s="11" t="inlineStr">
        <is>
          <t>15 雨・天候</t>
        </is>
      </c>
      <c r="H32" s="12" t="inlineStr">
        <is>
          <t>05 3Dオブジェクト</t>
        </is>
      </c>
      <c r="I32" s="13" t="n"/>
      <c r="J32" s="14" t="inlineStr">
        <is>
          <t>13 パララックス</t>
        </is>
      </c>
      <c r="K32" s="10" t="inlineStr">
        <is>
          <t>夜の雨が降る街（パララックス）。雨の中でキューブだけが暖かく灯る。</t>
        </is>
      </c>
      <c r="L32" s="10" t="n"/>
    </row>
    <row r="33">
      <c r="A33" s="2" t="n">
        <v>32</v>
      </c>
      <c r="B33" s="3" t="inlineStr">
        <is>
          <t>結論</t>
        </is>
      </c>
      <c r="C33" s="3" t="inlineStr">
        <is>
          <t>あなたは、あの狭い箱に1人で入ったとき、絶対に自分をコントロールできると言い切れますか。</t>
        </is>
      </c>
      <c r="D33" s="2">
        <f>LEN(C33)</f>
        <v/>
      </c>
      <c r="E33" s="2">
        <f>ROUND(D33/設定!$B$3,1)</f>
        <v/>
      </c>
      <c r="F33" s="2">
        <f>TEXT(SUM(E$1:E32)/86400,"m:ss")</f>
        <v/>
      </c>
      <c r="G33" s="4" t="n"/>
      <c r="H33" s="5" t="inlineStr">
        <is>
          <t>09 棒人間</t>
        </is>
      </c>
      <c r="I33" s="6" t="inlineStr">
        <is>
          <t>12 キネティック文字</t>
        </is>
      </c>
      <c r="J33" s="7" t="inlineStr">
        <is>
          <t>11 ネオン・グリッチ</t>
        </is>
      </c>
      <c r="K33" s="3" t="inlineStr">
        <is>
          <t>キューブの中の人物にカメラがゆっくり寄る。問いの文字が出て、最後に一瞬だけグリッチ。</t>
        </is>
      </c>
      <c r="L33" s="3" t="n"/>
    </row>
    <row r="34">
      <c r="A34" s="9" t="n">
        <v>33</v>
      </c>
      <c r="B34" s="10" t="inlineStr">
        <is>
          <t>エンディング</t>
        </is>
      </c>
      <c r="C34" s="10" t="inlineStr">
        <is>
          <t>社会を科学する。</t>
        </is>
      </c>
      <c r="D34" s="9">
        <f>LEN(C34)</f>
        <v/>
      </c>
      <c r="E34" s="9">
        <f>ROUND(D34/設定!$B$3,1)</f>
        <v/>
      </c>
      <c r="F34" s="9">
        <f>TEXT(SUM(E$1:E33)/86400,"m:ss")</f>
        <v/>
      </c>
      <c r="G34" s="11" t="inlineStr">
        <is>
          <t>04 シェーダー</t>
        </is>
      </c>
      <c r="H34" s="12" t="n"/>
      <c r="I34" s="13" t="inlineStr">
        <is>
          <t>02 SVG線画・変形</t>
        </is>
      </c>
      <c r="J34" s="14" t="n"/>
      <c r="K34" s="10" t="inlineStr">
        <is>
          <t>チャンネルのキャッチコピーを線画で描く。背景のシェーダーを落ち着いた色にする。</t>
        </is>
      </c>
      <c r="L34" s="10" t="n"/>
    </row>
    <row r="35">
      <c r="A35" s="2" t="n">
        <v>34</v>
      </c>
      <c r="B35" s="3" t="inlineStr">
        <is>
          <t>エンディング</t>
        </is>
      </c>
      <c r="C35" s="3" t="inlineStr">
        <is>
          <t>もしあなたが駅のあの個室に入ったら、どんな気分になるか、ぜひコメント欄で教えてください。</t>
        </is>
      </c>
      <c r="D35" s="2">
        <f>LEN(C35)</f>
        <v/>
      </c>
      <c r="E35" s="2">
        <f>ROUND(D35/設定!$B$3,1)</f>
        <v/>
      </c>
      <c r="F35" s="2">
        <f>TEXT(SUM(E$1:E34)/86400,"m:ss")</f>
        <v/>
      </c>
      <c r="G35" s="4" t="n"/>
      <c r="H35" s="5" t="inlineStr">
        <is>
          <t>01 CSS UI</t>
        </is>
      </c>
      <c r="I35" s="6" t="inlineStr">
        <is>
          <t>12 キネティック文字</t>
        </is>
      </c>
      <c r="J35" s="7" t="n"/>
      <c r="K35" s="3" t="inlineStr">
        <is>
          <t>コメント入力欄風のUIに問いの文字が入力されていく。</t>
        </is>
      </c>
      <c r="L35" s="3" t="n"/>
    </row>
    <row r="36">
      <c r="A36" s="2" t="n">
        <v>35</v>
      </c>
      <c r="B36" s="3" t="inlineStr">
        <is>
          <t>エンディング</t>
        </is>
      </c>
      <c r="C36" s="3" t="inlineStr">
        <is>
          <t>次回もニュースを一緒に深く分析したい方は、チャンネル登録をお願いします。</t>
        </is>
      </c>
      <c r="D36" s="2">
        <f>LEN(C36)</f>
        <v/>
      </c>
      <c r="E36" s="2">
        <f>ROUND(D36/設定!$B$3,1)</f>
        <v/>
      </c>
      <c r="F36" s="2">
        <f>TEXT(SUM(E$1:E35)/86400,"m:ss")</f>
        <v/>
      </c>
      <c r="G36" s="4" t="n"/>
      <c r="H36" s="5" t="inlineStr">
        <is>
          <t>01 CSS UI</t>
        </is>
      </c>
      <c r="I36" s="6" t="n"/>
      <c r="J36" s="7" t="n"/>
      <c r="K36" s="3" t="inlineStr">
        <is>
          <t>登録ボタン（見本01の弾むボタン）が光る。</t>
        </is>
      </c>
      <c r="L36" s="3" t="n"/>
    </row>
  </sheetData>
  <autoFilter ref="A1:L36"/>
  <dataValidations count="1">
    <dataValidation sqref="G2:J36" showDropDown="0" showInputMessage="0" showErrorMessage="0" allowBlank="1" type="list">
      <formula1>=スタイル一覧!$B$2:$B$16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12" customWidth="1" min="3" max="3"/>
    <col width="52" customWidth="1" min="4" max="4"/>
    <col width="9" customWidth="1" min="5" max="5"/>
    <col width="9" customWidth="1" min="6" max="6"/>
    <col width="9" customWidth="1" min="7" max="7"/>
    <col width="9" customWidth="1" min="8" max="8"/>
    <col width="9" customWidth="1" min="9" max="9"/>
  </cols>
  <sheetData>
    <row r="1">
      <c r="A1" s="1" t="inlineStr">
        <is>
          <t>No</t>
        </is>
      </c>
      <c r="B1" s="1" t="inlineStr">
        <is>
          <t>スタイル</t>
        </is>
      </c>
      <c r="C1" s="1" t="inlineStr">
        <is>
          <t>役割</t>
        </is>
      </c>
      <c r="D1" s="1" t="inlineStr">
        <is>
          <t>この台本での使いどころ</t>
        </is>
      </c>
      <c r="E1" s="1" t="inlineStr">
        <is>
          <t>使用回数</t>
        </is>
      </c>
      <c r="F1" s="1" t="inlineStr">
        <is>
          <t>うち背景</t>
        </is>
      </c>
      <c r="G1" s="1" t="inlineStr">
        <is>
          <t>うち主役</t>
        </is>
      </c>
      <c r="H1" s="1" t="inlineStr">
        <is>
          <t>うち文字</t>
        </is>
      </c>
      <c r="I1" s="1" t="inlineStr">
        <is>
          <t>うち仕上げ</t>
        </is>
      </c>
    </row>
    <row r="2">
      <c r="A2" s="2" t="n">
        <v>1</v>
      </c>
      <c r="B2" s="3" t="inlineStr">
        <is>
          <t>01 CSS UI</t>
        </is>
      </c>
      <c r="C2" s="3" t="inlineStr">
        <is>
          <t>仕上げ</t>
        </is>
      </c>
      <c r="D2" s="3" t="inlineStr">
        <is>
          <t>研究カード、SNS通知、音量メーター、コメント欄・登録ボタンなどのUI</t>
        </is>
      </c>
      <c r="E2" s="2">
        <f>COUNTIF('シーン割り'!$G$2:$J$36,B2)</f>
        <v/>
      </c>
      <c r="F2" s="2">
        <f>COUNTIF('シーン割り'!$G$2:$G$36,B2)</f>
        <v/>
      </c>
      <c r="G2" s="2">
        <f>COUNTIF('シーン割り'!$H$2:$H$36,B2)</f>
        <v/>
      </c>
      <c r="H2" s="2">
        <f>COUNTIF('シーン割り'!$I$2:$I$36,B2)</f>
        <v/>
      </c>
      <c r="I2" s="2">
        <f>COUNTIF('シーン割り'!$J$2:$J$36,B2)</f>
        <v/>
      </c>
    </row>
    <row r="3">
      <c r="A3" s="2" t="n">
        <v>2</v>
      </c>
      <c r="B3" s="3" t="inlineStr">
        <is>
          <t>02 SVG線画・変形</t>
        </is>
      </c>
      <c r="C3" s="3" t="inlineStr">
        <is>
          <t>文字・仕上げ</t>
        </is>
      </c>
      <c r="D3" s="3" t="inlineStr">
        <is>
          <t>タイトルの線画、フェンスや視線の線、取り消し線、壁が丸くなる変形</t>
        </is>
      </c>
      <c r="E3" s="2">
        <f>COUNTIF('シーン割り'!$G$2:$J$36,B3)</f>
        <v/>
      </c>
      <c r="F3" s="2">
        <f>COUNTIF('シーン割り'!$G$2:$G$36,B3)</f>
        <v/>
      </c>
      <c r="G3" s="2">
        <f>COUNTIF('シーン割り'!$H$2:$H$36,B3)</f>
        <v/>
      </c>
      <c r="H3" s="2">
        <f>COUNTIF('シーン割り'!$I$2:$I$36,B3)</f>
        <v/>
      </c>
      <c r="I3" s="2">
        <f>COUNTIF('シーン割り'!$J$2:$J$36,B3)</f>
        <v/>
      </c>
    </row>
    <row r="4">
      <c r="A4" s="2" t="n">
        <v>3</v>
      </c>
      <c r="B4" s="3" t="inlineStr">
        <is>
          <t>03 パーティクル</t>
        </is>
      </c>
      <c r="C4" s="3" t="inlineStr">
        <is>
          <t>背景</t>
        </is>
      </c>
      <c r="D4" s="3" t="inlineStr">
        <is>
          <t>群衆の流れ、常時接続の網（線が切れる演出）</t>
        </is>
      </c>
      <c r="E4" s="2">
        <f>COUNTIF('シーン割り'!$G$2:$J$36,B4)</f>
        <v/>
      </c>
      <c r="F4" s="2">
        <f>COUNTIF('シーン割り'!$G$2:$G$36,B4)</f>
        <v/>
      </c>
      <c r="G4" s="2">
        <f>COUNTIF('シーン割り'!$H$2:$H$36,B4)</f>
        <v/>
      </c>
      <c r="H4" s="2">
        <f>COUNTIF('シーン割り'!$I$2:$I$36,B4)</f>
        <v/>
      </c>
      <c r="I4" s="2">
        <f>COUNTIF('シーン割り'!$J$2:$J$36,B4)</f>
        <v/>
      </c>
    </row>
    <row r="5">
      <c r="A5" s="2" t="n">
        <v>4</v>
      </c>
      <c r="B5" s="3" t="inlineStr">
        <is>
          <t>04 シェーダー</t>
        </is>
      </c>
      <c r="C5" s="3" t="inlineStr">
        <is>
          <t>背景</t>
        </is>
      </c>
      <c r="D5" s="3" t="inlineStr">
        <is>
          <t>タイトル・ニュース・胎内の比喩など、感情の色を出す場面</t>
        </is>
      </c>
      <c r="E5" s="2">
        <f>COUNTIF('シーン割り'!$G$2:$J$36,B5)</f>
        <v/>
      </c>
      <c r="F5" s="2">
        <f>COUNTIF('シーン割り'!$G$2:$G$36,B5)</f>
        <v/>
      </c>
      <c r="G5" s="2">
        <f>COUNTIF('シーン割り'!$H$2:$H$36,B5)</f>
        <v/>
      </c>
      <c r="H5" s="2">
        <f>COUNTIF('シーン割り'!$I$2:$I$36,B5)</f>
        <v/>
      </c>
      <c r="I5" s="2">
        <f>COUNTIF('シーン割り'!$J$2:$J$36,B5)</f>
        <v/>
      </c>
    </row>
    <row r="6">
      <c r="A6" s="2" t="n">
        <v>5</v>
      </c>
      <c r="B6" s="3" t="inlineStr">
        <is>
          <t>05 3Dオブジェクト</t>
        </is>
      </c>
      <c r="C6" s="3" t="inlineStr">
        <is>
          <t>主役</t>
        </is>
      </c>
      <c r="D6" s="3" t="inlineStr">
        <is>
          <t>黒いキューブ（ステーションポッド）、カメラの引き・寄り</t>
        </is>
      </c>
      <c r="E6" s="2">
        <f>COUNTIF('シーン割り'!$G$2:$J$36,B6)</f>
        <v/>
      </c>
      <c r="F6" s="2">
        <f>COUNTIF('シーン割り'!$G$2:$G$36,B6)</f>
        <v/>
      </c>
      <c r="G6" s="2">
        <f>COUNTIF('シーン割り'!$H$2:$H$36,B6)</f>
        <v/>
      </c>
      <c r="H6" s="2">
        <f>COUNTIF('シーン割り'!$I$2:$I$36,B6)</f>
        <v/>
      </c>
      <c r="I6" s="2">
        <f>COUNTIF('シーン割り'!$J$2:$J$36,B6)</f>
        <v/>
      </c>
    </row>
    <row r="7">
      <c r="A7" s="2" t="n">
        <v>6</v>
      </c>
      <c r="B7" s="3" t="inlineStr">
        <is>
          <t>06 ジェネラティブ</t>
        </is>
      </c>
      <c r="C7" s="3" t="inlineStr">
        <is>
          <t>背景</t>
        </is>
      </c>
      <c r="D7" s="3" t="inlineStr">
        <is>
          <t>脳の中のノイズ、都市の歪み</t>
        </is>
      </c>
      <c r="E7" s="2">
        <f>COUNTIF('シーン割り'!$G$2:$J$36,B7)</f>
        <v/>
      </c>
      <c r="F7" s="2">
        <f>COUNTIF('シーン割り'!$G$2:$G$36,B7)</f>
        <v/>
      </c>
      <c r="G7" s="2">
        <f>COUNTIF('シーン割り'!$H$2:$H$36,B7)</f>
        <v/>
      </c>
      <c r="H7" s="2">
        <f>COUNTIF('シーン割り'!$I$2:$I$36,B7)</f>
        <v/>
      </c>
      <c r="I7" s="2">
        <f>COUNTIF('シーン割り'!$J$2:$J$36,B7)</f>
        <v/>
      </c>
    </row>
    <row r="8">
      <c r="A8" s="2" t="n">
        <v>7</v>
      </c>
      <c r="B8" s="3" t="inlineStr">
        <is>
          <t>07 動くグラフ</t>
        </is>
      </c>
      <c r="C8" s="3" t="inlineStr">
        <is>
          <t>主役</t>
        </is>
      </c>
      <c r="D8" s="3" t="inlineStr">
        <is>
          <t>研究結果の数値（−40%、約3倍、70%）※出典確認後</t>
        </is>
      </c>
      <c r="E8" s="2">
        <f>COUNTIF('シーン割り'!$G$2:$J$36,B8)</f>
        <v/>
      </c>
      <c r="F8" s="2">
        <f>COUNTIF('シーン割り'!$G$2:$G$36,B8)</f>
        <v/>
      </c>
      <c r="G8" s="2">
        <f>COUNTIF('シーン割り'!$H$2:$H$36,B8)</f>
        <v/>
      </c>
      <c r="H8" s="2">
        <f>COUNTIF('シーン割り'!$I$2:$I$36,B8)</f>
        <v/>
      </c>
      <c r="I8" s="2">
        <f>COUNTIF('シーン割り'!$J$2:$J$36,B8)</f>
        <v/>
      </c>
    </row>
    <row r="9">
      <c r="A9" s="2" t="n">
        <v>8</v>
      </c>
      <c r="B9" s="3" t="inlineStr">
        <is>
          <t>08 図解（Manim風）</t>
        </is>
      </c>
      <c r="C9" s="3" t="inlineStr">
        <is>
          <t>主役</t>
        </is>
      </c>
      <c r="D9" s="3" t="inlineStr">
        <is>
          <t>部屋の比較、広場の分割、視線の網、公共と私室の衝突</t>
        </is>
      </c>
      <c r="E9" s="2">
        <f>COUNTIF('シーン割り'!$G$2:$J$36,B9)</f>
        <v/>
      </c>
      <c r="F9" s="2">
        <f>COUNTIF('シーン割り'!$G$2:$G$36,B9)</f>
        <v/>
      </c>
      <c r="G9" s="2">
        <f>COUNTIF('シーン割り'!$H$2:$H$36,B9)</f>
        <v/>
      </c>
      <c r="H9" s="2">
        <f>COUNTIF('シーン割り'!$I$2:$I$36,B9)</f>
        <v/>
      </c>
      <c r="I9" s="2">
        <f>COUNTIF('シーン割り'!$J$2:$J$36,B9)</f>
        <v/>
      </c>
    </row>
    <row r="10">
      <c r="A10" s="2" t="n">
        <v>9</v>
      </c>
      <c r="B10" s="3" t="inlineStr">
        <is>
          <t>09 棒人間</t>
        </is>
      </c>
      <c r="C10" s="3" t="inlineStr">
        <is>
          <t>主役</t>
        </is>
      </c>
      <c r="D10" s="3" t="inlineStr">
        <is>
          <t>利用者・通勤客・被験者などすべての人物</t>
        </is>
      </c>
      <c r="E10" s="2">
        <f>COUNTIF('シーン割り'!$G$2:$J$36,B10)</f>
        <v/>
      </c>
      <c r="F10" s="2">
        <f>COUNTIF('シーン割り'!$G$2:$G$36,B10)</f>
        <v/>
      </c>
      <c r="G10" s="2">
        <f>COUNTIF('シーン割り'!$H$2:$H$36,B10)</f>
        <v/>
      </c>
      <c r="H10" s="2">
        <f>COUNTIF('シーン割り'!$I$2:$I$36,B10)</f>
        <v/>
      </c>
      <c r="I10" s="2">
        <f>COUNTIF('シーン割り'!$J$2:$J$36,B10)</f>
        <v/>
      </c>
    </row>
    <row r="11">
      <c r="A11" s="15" t="n">
        <v>10</v>
      </c>
      <c r="B11" s="16" t="inlineStr">
        <is>
          <t>10 ドット絵</t>
        </is>
      </c>
      <c r="C11" s="16" t="inlineStr">
        <is>
          <t>不使用</t>
        </is>
      </c>
      <c r="D11" s="16" t="inlineStr">
        <is>
          <t>ドット絵は深刻なニュースの雰囲気と合わないため使わない</t>
        </is>
      </c>
      <c r="E11" s="15">
        <f>COUNTIF('シーン割り'!$G$2:$J$36,B11)</f>
        <v/>
      </c>
      <c r="F11" s="15">
        <f>COUNTIF('シーン割り'!$G$2:$G$36,B11)</f>
        <v/>
      </c>
      <c r="G11" s="15">
        <f>COUNTIF('シーン割り'!$H$2:$H$36,B11)</f>
        <v/>
      </c>
      <c r="H11" s="15">
        <f>COUNTIF('シーン割り'!$I$2:$I$36,B11)</f>
        <v/>
      </c>
      <c r="I11" s="15">
        <f>COUNTIF('シーン割り'!$J$2:$J$36,B11)</f>
        <v/>
      </c>
    </row>
    <row r="12">
      <c r="A12" s="2" t="n">
        <v>11</v>
      </c>
      <c r="B12" s="3" t="inlineStr">
        <is>
          <t>11 ネオン・グリッチ</t>
        </is>
      </c>
      <c r="C12" s="3" t="inlineStr">
        <is>
          <t>文字・仕上げ</t>
        </is>
      </c>
      <c r="D12" s="3" t="inlineStr">
        <is>
          <t>「錯誤」「認知のバグ」「誤認」など、脳のバグを表す言葉と場面</t>
        </is>
      </c>
      <c r="E12" s="2">
        <f>COUNTIF('シーン割り'!$G$2:$J$36,B12)</f>
        <v/>
      </c>
      <c r="F12" s="2">
        <f>COUNTIF('シーン割り'!$G$2:$G$36,B12)</f>
        <v/>
      </c>
      <c r="G12" s="2">
        <f>COUNTIF('シーン割り'!$H$2:$H$36,B12)</f>
        <v/>
      </c>
      <c r="H12" s="2">
        <f>COUNTIF('シーン割り'!$I$2:$I$36,B12)</f>
        <v/>
      </c>
      <c r="I12" s="2">
        <f>COUNTIF('シーン割り'!$J$2:$J$36,B12)</f>
        <v/>
      </c>
    </row>
    <row r="13">
      <c r="A13" s="2" t="n">
        <v>12</v>
      </c>
      <c r="B13" s="3" t="inlineStr">
        <is>
          <t>12 キネティック文字</t>
        </is>
      </c>
      <c r="C13" s="3" t="inlineStr">
        <is>
          <t>文字</t>
        </is>
      </c>
      <c r="D13" s="3" t="inlineStr">
        <is>
          <t>問いかけ、キーワード、数値の強調</t>
        </is>
      </c>
      <c r="E13" s="2">
        <f>COUNTIF('シーン割り'!$G$2:$J$36,B13)</f>
        <v/>
      </c>
      <c r="F13" s="2">
        <f>COUNTIF('シーン割り'!$G$2:$G$36,B13)</f>
        <v/>
      </c>
      <c r="G13" s="2">
        <f>COUNTIF('シーン割り'!$H$2:$H$36,B13)</f>
        <v/>
      </c>
      <c r="H13" s="2">
        <f>COUNTIF('シーン割り'!$I$2:$I$36,B13)</f>
        <v/>
      </c>
      <c r="I13" s="2">
        <f>COUNTIF('シーン割り'!$J$2:$J$36,B13)</f>
        <v/>
      </c>
    </row>
    <row r="14">
      <c r="A14" s="2" t="n">
        <v>13</v>
      </c>
      <c r="B14" s="3" t="inlineStr">
        <is>
          <t>13 パララックス</t>
        </is>
      </c>
      <c r="C14" s="3" t="inlineStr">
        <is>
          <t>背景</t>
        </is>
      </c>
      <c r="D14" s="3" t="inlineStr">
        <is>
          <t>駅構内の奥行き、都市のシルエット、昔の待合所</t>
        </is>
      </c>
      <c r="E14" s="2">
        <f>COUNTIF('シーン割り'!$G$2:$J$36,B14)</f>
        <v/>
      </c>
      <c r="F14" s="2">
        <f>COUNTIF('シーン割り'!$G$2:$G$36,B14)</f>
        <v/>
      </c>
      <c r="G14" s="2">
        <f>COUNTIF('シーン割り'!$H$2:$H$36,B14)</f>
        <v/>
      </c>
      <c r="H14" s="2">
        <f>COUNTIF('シーン割り'!$I$2:$I$36,B14)</f>
        <v/>
      </c>
      <c r="I14" s="2">
        <f>COUNTIF('シーン割り'!$J$2:$J$36,B14)</f>
        <v/>
      </c>
    </row>
    <row r="15">
      <c r="A15" s="15" t="n">
        <v>14</v>
      </c>
      <c r="B15" s="16" t="inlineStr">
        <is>
          <t>14 ASCII</t>
        </is>
      </c>
      <c r="C15" s="16" t="inlineStr">
        <is>
          <t>不使用</t>
        </is>
      </c>
      <c r="D15" s="16" t="inlineStr">
        <is>
          <t>ASCIIは技術系の印象が強く、この題材では使わない</t>
        </is>
      </c>
      <c r="E15" s="15">
        <f>COUNTIF('シーン割り'!$G$2:$J$36,B15)</f>
        <v/>
      </c>
      <c r="F15" s="15">
        <f>COUNTIF('シーン割り'!$G$2:$G$36,B15)</f>
        <v/>
      </c>
      <c r="G15" s="15">
        <f>COUNTIF('シーン割り'!$H$2:$H$36,B15)</f>
        <v/>
      </c>
      <c r="H15" s="15">
        <f>COUNTIF('シーン割り'!$I$2:$I$36,B15)</f>
        <v/>
      </c>
      <c r="I15" s="15">
        <f>COUNTIF('シーン割り'!$J$2:$J$36,B15)</f>
        <v/>
      </c>
    </row>
    <row r="16">
      <c r="A16" s="2" t="n">
        <v>15</v>
      </c>
      <c r="B16" s="3" t="inlineStr">
        <is>
          <t>15 雨・天候</t>
        </is>
      </c>
      <c r="C16" s="3" t="inlineStr">
        <is>
          <t>背景</t>
        </is>
      </c>
      <c r="D16" s="3" t="inlineStr">
        <is>
          <t>結論の雨の夜（シェルターを際立たせる）</t>
        </is>
      </c>
      <c r="E16" s="2">
        <f>COUNTIF('シーン割り'!$G$2:$J$36,B16)</f>
        <v/>
      </c>
      <c r="F16" s="2">
        <f>COUNTIF('シーン割り'!$G$2:$G$36,B16)</f>
        <v/>
      </c>
      <c r="G16" s="2">
        <f>COUNTIF('シーン割り'!$H$2:$H$36,B16)</f>
        <v/>
      </c>
      <c r="H16" s="2">
        <f>COUNTIF('シーン割り'!$I$2:$I$36,B16)</f>
        <v/>
      </c>
      <c r="I16" s="2">
        <f>COUNTIF('シーン割り'!$J$2:$J$36,B16)</f>
        <v/>
      </c>
    </row>
    <row r="17">
      <c r="D17" s="17" t="inlineStr">
        <is>
          <t>合計</t>
        </is>
      </c>
      <c r="E17" s="18">
        <f>SUM(E2:E16)</f>
        <v/>
      </c>
      <c r="F17" s="18">
        <f>SUM(F2:F16)</f>
        <v/>
      </c>
      <c r="G17" s="18">
        <f>SUM(G2:G16)</f>
        <v/>
      </c>
      <c r="H17" s="18">
        <f>SUM(H2:H16)</f>
        <v/>
      </c>
      <c r="I17" s="18">
        <f>SUM(I2:I16)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 customWidth="1" min="1" max="1"/>
    <col width="40" customWidth="1" min="2" max="2"/>
    <col width="56" customWidth="1" min="3" max="3"/>
    <col width="10" customWidth="1" min="4" max="4"/>
    <col width="50" customWidth="1" min="5" max="5"/>
  </cols>
  <sheetData>
    <row r="1">
      <c r="A1" s="1" t="inlineStr">
        <is>
          <t>No</t>
        </is>
      </c>
      <c r="B1" s="1" t="inlineStr">
        <is>
          <t>台本の記述</t>
        </is>
      </c>
      <c r="C1" s="1" t="inlineStr">
        <is>
          <t>確認できていること</t>
        </is>
      </c>
      <c r="D1" s="1" t="inlineStr">
        <is>
          <t>判定</t>
        </is>
      </c>
      <c r="E1" s="1" t="inlineStr">
        <is>
          <t>対応案</t>
        </is>
      </c>
    </row>
    <row r="2">
      <c r="A2" s="2" t="n">
        <v>1</v>
      </c>
      <c r="B2" s="3" t="inlineStr">
        <is>
          <t>2026年9月、「ステーションポッド」での不適切行為動画の拡散と警察の捜査</t>
        </is>
      </c>
      <c r="C2" s="3" t="inlineStr">
        <is>
          <t>報道を確認できていない（Claude の知識は2026年6月まで）。「ステーションポッド」が実在の商品名かどうかも未確認。</t>
        </is>
      </c>
      <c r="D2" s="19" t="inlineStr">
        <is>
          <t>要確認</t>
        </is>
      </c>
      <c r="E2" s="3" t="inlineStr">
        <is>
          <t>報道元を確認して概要欄に出典を載せる。商品名が実在する場合は、特定の事業者を責める表現にならないか確認する。</t>
        </is>
      </c>
    </row>
    <row r="3">
      <c r="A3" s="2" t="n">
        <v>2</v>
      </c>
      <c r="B3" s="3" t="inlineStr">
        <is>
          <t>コーネル大学 ゲイリー・エバンス、2000年、都市住民300人、狭い部屋ほど警戒反応が約40%低下</t>
        </is>
      </c>
      <c r="C3" s="3" t="inlineStr">
        <is>
          <t>エバンスはコーネル大学の実在の環境心理学者で、過密やストレスの研究で知られる。ただし、この条件・人数・数値の研究は確認できていない。</t>
        </is>
      </c>
      <c r="D3" s="19" t="inlineStr">
        <is>
          <t>要確認</t>
        </is>
      </c>
      <c r="E3" s="3" t="inlineStr">
        <is>
          <t>論文名・掲載誌を特定する。見つからなければ研究の紹介と「−40%」のグラフを削るか、確認できた研究に差し替える。</t>
        </is>
      </c>
    </row>
    <row r="4">
      <c r="A4" s="2" t="n">
        <v>3</v>
      </c>
      <c r="B4" s="3" t="inlineStr">
        <is>
          <t>エドワード・ソジャ、1996年、ロサンゼルスの街区を半年間観測、ブース内の逸脱が約3倍</t>
        </is>
      </c>
      <c r="C4" s="3" t="inlineStr">
        <is>
          <t>ソジャはロサンゼルスを研究した実在の都市地理学者で、1996年に著書『Thirdspace』がある。ただし理論研究が中心で、こうした観測調査は確認できていない。</t>
        </is>
      </c>
      <c r="D4" s="19" t="inlineStr">
        <is>
          <t>要確認</t>
        </is>
      </c>
      <c r="E4" s="3" t="inlineStr">
        <is>
          <t>出典を特定する。見つからなければ「約3倍」のグラフを削り、都市の私有化に関する理論の紹介に言い換える。</t>
        </is>
      </c>
    </row>
    <row r="5">
      <c r="A5" s="2" t="n">
        <v>4</v>
      </c>
      <c r="B5" s="3" t="inlineStr">
        <is>
          <t>シェリー・タークル、2011年、ビジネスパーソン200人を追跡、約70%が衝動的行動を望んだ</t>
        </is>
      </c>
      <c r="C5" s="3" t="inlineStr">
        <is>
          <t>タークルはMITの実在の研究者で、2011年に著書『Alone Together』がある。ただしこの本は主にインタビューに基づいており、この人数・数値の調査は確認できていない。</t>
        </is>
      </c>
      <c r="D5" s="19" t="inlineStr">
        <is>
          <t>要確認</t>
        </is>
      </c>
      <c r="E5" s="3" t="inlineStr">
        <is>
          <t>出典を特定する。見つからなければ「70%」のグラフを削り、著書の主張の紹介に言い換える。</t>
        </is>
      </c>
    </row>
    <row r="7" ht="32" customHeight="1">
      <c r="B7" s="20" t="inlineStr">
        <is>
          <t>数値をグラフや大きな文字で見せると、視聴者には確かな事実として伝わります。出典が確認できるまで、該当シーン（No.8・10・18・20・27・29）の図解は仮のままにしてください。</t>
        </is>
      </c>
    </row>
  </sheetData>
  <mergeCells count="1">
    <mergeCell ref="B7:E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4" customWidth="1" min="2" max="2"/>
  </cols>
  <sheetData>
    <row r="1">
      <c r="A1" s="21" t="inlineStr">
        <is>
          <t>設定</t>
        </is>
      </c>
    </row>
    <row r="3">
      <c r="A3" s="22" t="inlineStr">
        <is>
          <t>読み上げ速度（文字/秒）</t>
        </is>
      </c>
      <c r="B3" s="23" t="n">
        <v>5.5</v>
      </c>
    </row>
    <row r="4">
      <c r="A4" s="22" t="inlineStr">
        <is>
          <t>合計の目安（分:秒）</t>
        </is>
      </c>
      <c r="B4" s="22">
        <f>TEXT(SUM('シーン割り'!E2:E36)/86400,"m:ss")</f>
        <v/>
      </c>
    </row>
    <row r="5">
      <c r="A5" s="22" t="n"/>
      <c r="B5" s="22" t="n"/>
    </row>
    <row r="6">
      <c r="A6" s="17" t="inlineStr">
        <is>
          <t>使い方</t>
        </is>
      </c>
      <c r="B6" s="22" t="n"/>
    </row>
    <row r="7">
      <c r="A7" s="22" t="inlineStr">
        <is>
          <t>・黄色いセル（B3）だけを書き換えてください。秒数・開始時刻・使用回数は計算式で自動更新されます。</t>
        </is>
      </c>
      <c r="B7" s="22" t="n"/>
    </row>
    <row r="8">
      <c r="A8" s="22" t="inlineStr">
        <is>
          <t>・「シーン割り」の背景・主役・文字・仕上げの列は、ドロップダウンで「スタイル一覧」のスタイルに変更できます。</t>
        </is>
      </c>
      <c r="B8" s="22" t="n"/>
    </row>
    <row r="9">
      <c r="A9" s="22" t="inlineStr">
        <is>
          <t>・スタイル番号は、前回の見本ページ（アニメーション見本帳）の番号と同じです。</t>
        </is>
      </c>
      <c r="B9" s="22" t="n"/>
    </row>
    <row r="10">
      <c r="A10" s="22" t="inlineStr">
        <is>
          <t>・「要確認」シートの項目は、図解やグラフを作る前に出典を確認してください。</t>
        </is>
      </c>
      <c r="B10" s="22"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2026-09-27T16:06:42Z</dcterms:created>
  <dcterms:modified xsi:type="dcterms:W3CDTF">2026-09-27T16:06:42Z</dcterms:modified>
</cp:coreProperties>
</file>